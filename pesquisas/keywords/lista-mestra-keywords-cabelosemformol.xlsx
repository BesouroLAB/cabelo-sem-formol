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a" sheetId="1" state="visible" r:id="rId3"/>
    <sheet name="Keywords" sheetId="2" state="visible" r:id="rId4"/>
    <sheet name="Resumo" sheetId="3" state="visible" r:id="rId5"/>
  </sheets>
  <definedNames>
    <definedName function="false" hidden="true" localSheetId="1" name="_xlnm._FilterDatabase" vbProcedure="false">Keywords!$A$1:$N$82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<sst xmlns="http://schemas.openxmlformats.org/spreadsheetml/2006/main" count="830" uniqueCount="263">
  <si>
    <t xml:space="preserve">Lista Mestra de Palavras-chave — Cabelo Sem Formol</t>
  </si>
  <si>
    <t xml:space="preserve">Como usar esta planilha</t>
  </si>
  <si>
    <t xml:space="preserve">O que é</t>
  </si>
  <si>
    <t xml:space="preserve">81 palavras-chave organizadas por silo, cluster de intenção e template. É a base de produção do blog: cada linha vira (ou alimenta) um artigo.</t>
  </si>
  <si>
    <t xml:space="preserve">Regra de ouro</t>
  </si>
  <si>
    <t xml:space="preserve">Comece pela Prioridade 1 (baixa concorrência, ranqueia rápido em site novo). Deixe os termos-cabeça saturados (Prioridade 3) para a Fase 4.</t>
  </si>
  <si>
    <t xml:space="preserve">COLUNAS QUE VOCÊ PREENCHE (amarelo)</t>
  </si>
  <si>
    <t xml:space="preserve">Volume real</t>
  </si>
  <si>
    <t xml:space="preserve">Volume mensal de busca. Puxe no Google Keyword Planner (Google Ads, conta grátis). É o único jeito confiável e gratuito de ter o número real.</t>
  </si>
  <si>
    <t xml:space="preserve">Dificuldade real</t>
  </si>
  <si>
    <t xml:space="preserve">Se tiver acesso a alguma ferramenta (mesmo trial), anote o KD/dificuldade. Senão, use a leitura de SERP: 1ª página só de blogs fortes = difícil; com fóruns/YouTube/Reddit/lojas = brecha.</t>
  </si>
  <si>
    <t xml:space="preserve">Status</t>
  </si>
  <si>
    <t xml:space="preserve">Controle de produção: A fazer / Escrevendo / Publicado.</t>
  </si>
  <si>
    <t xml:space="preserve">COLUNAS QUE JÁ VÊM PRONTAS (estimativa)</t>
  </si>
  <si>
    <t xml:space="preserve">Demanda (est.) / Concorrência (est.)</t>
  </si>
  <si>
    <t xml:space="preserve">Estimativa QUALITATIVA (Alta/Média/Baixa) baseada na análise do SERP — não é volume exato. Serve para priorizar antes de você validar no Keyword Planner.</t>
  </si>
  <si>
    <t xml:space="preserve">Prioridade</t>
  </si>
  <si>
    <t xml:space="preserve">1 = começar já · 2 = médio prazo · 3 = Fase 4 (termo-cabeça saturado).</t>
  </si>
  <si>
    <t xml:space="preserve">Template</t>
  </si>
  <si>
    <t xml:space="preserve">Molde de artigo. A = Resenha de produto · B = Comparativo A vs B · C = Recorte de público · D = Dúvida/segurança · Pilar = página-cabeça do silo.</t>
  </si>
  <si>
    <t xml:space="preserve">⚠️ Atenção YMYL (saúde)</t>
  </si>
  <si>
    <t xml:space="preserve">Linhas marcadas com ⚠️ tocam em saúde (ex.: gravidez). Nunca afirme segurança por conta própria: cite só o que o fabricante declara ('segundo a marca...') e recomende consulta profissional.</t>
  </si>
  <si>
    <t xml:space="preserve">EXEMPLO DE PREENCHIMENTO</t>
  </si>
  <si>
    <t xml:space="preserve">(as colunas amarelas ficam assim depois de validadas)</t>
  </si>
  <si>
    <t xml:space="preserve">Palavra-chave</t>
  </si>
  <si>
    <t xml:space="preserve">Demanda (est.)</t>
  </si>
  <si>
    <t xml:space="preserve">borabella não chore mais resenha</t>
  </si>
  <si>
    <t xml:space="preserve">Média</t>
  </si>
  <si>
    <t xml:space="preserve">Baixa (28)</t>
  </si>
  <si>
    <t xml:space="preserve">Publicado</t>
  </si>
  <si>
    <t xml:space="preserve">ID</t>
  </si>
  <si>
    <t xml:space="preserve">Silo</t>
  </si>
  <si>
    <t xml:space="preserve">Cluster</t>
  </si>
  <si>
    <t xml:space="preserve">Intenção</t>
  </si>
  <si>
    <t xml:space="preserve">URL sugerida</t>
  </si>
  <si>
    <t xml:space="preserve">Concorrência (est.)</t>
  </si>
  <si>
    <t xml:space="preserve">Notas / ângulo</t>
  </si>
  <si>
    <t xml:space="preserve">1. Progressivas</t>
  </si>
  <si>
    <t xml:space="preserve">Pilar</t>
  </si>
  <si>
    <t xml:space="preserve">melhor progressiva sem formol</t>
  </si>
  <si>
    <t xml:space="preserve">Comercial</t>
  </si>
  <si>
    <t xml:space="preserve">/progressivas/melhor-progressiva-sem-formol</t>
  </si>
  <si>
    <t xml:space="preserve">Alta</t>
  </si>
  <si>
    <t xml:space="preserve">A fazer</t>
  </si>
  <si>
    <t xml:space="preserve">Termo-cabeça saturado (AnalisaMelhor, mybest, Promobit). Fase 4.</t>
  </si>
  <si>
    <t xml:space="preserve">melhor progressiva sem formol 2026</t>
  </si>
  <si>
    <t xml:space="preserve">Variação do pilar — mesma página, atualizar o ano.</t>
  </si>
  <si>
    <t xml:space="preserve">melhor progressiva orgânica</t>
  </si>
  <si>
    <t xml:space="preserve">/progressivas/melhor-progressiva-organica</t>
  </si>
  <si>
    <t xml:space="preserve">Pode ser seção do pilar ou página própria.</t>
  </si>
  <si>
    <t xml:space="preserve">Público</t>
  </si>
  <si>
    <t xml:space="preserve">progressiva sem formol profissional</t>
  </si>
  <si>
    <t xml:space="preserve">C · Público</t>
  </si>
  <si>
    <t xml:space="preserve">/progressivas/progressiva-sem-formol-profissional</t>
  </si>
  <si>
    <t xml:space="preserve">Recorte de público profissional/salão.</t>
  </si>
  <si>
    <t xml:space="preserve">Resenha</t>
  </si>
  <si>
    <t xml:space="preserve">A · Resenha</t>
  </si>
  <si>
    <t xml:space="preserve">/progressivas/borabella-nao-chore-mais-resenha</t>
  </si>
  <si>
    <t xml:space="preserve">Baixa</t>
  </si>
  <si>
    <t xml:space="preserve">Marca muito citada e apontada como melhor em vários rankings.</t>
  </si>
  <si>
    <t xml:space="preserve">prohall select one resenha</t>
  </si>
  <si>
    <t xml:space="preserve">/progressivas/prohall-select-one-resenha</t>
  </si>
  <si>
    <t xml:space="preserve">Campeã de custo-benefício nas fontes. Alta prioridade.</t>
  </si>
  <si>
    <t xml:space="preserve">fashion gold vale a pena</t>
  </si>
  <si>
    <t xml:space="preserve">/progressivas/ybera-fashion-gold-resenha</t>
  </si>
  <si>
    <t xml:space="preserve">Ybera Paris. 'A mais vendida' segundo fabricantes.</t>
  </si>
  <si>
    <t xml:space="preserve">let me be pro repair resenha</t>
  </si>
  <si>
    <t xml:space="preserve">/progressivas/let-me-be-pro-repair-resenha</t>
  </si>
  <si>
    <t xml:space="preserve">mutari progressiva resenha</t>
  </si>
  <si>
    <t xml:space="preserve">/progressivas/mutari-progressiva-resenha</t>
  </si>
  <si>
    <t xml:space="preserve">japinha orgânica resenha</t>
  </si>
  <si>
    <t xml:space="preserve">/progressivas/japinha-organica-resenha</t>
  </si>
  <si>
    <t xml:space="preserve">maria escandalosa progressiva resenha</t>
  </si>
  <si>
    <t xml:space="preserve">/progressivas/maria-escandalosa-resenha</t>
  </si>
  <si>
    <t xml:space="preserve">adlux premium pró 20 resenha</t>
  </si>
  <si>
    <t xml:space="preserve">/progressivas/adlux-premium-pro-20-resenha</t>
  </si>
  <si>
    <t xml:space="preserve">Alta durabilidade (3–4 meses) — ângulo de venda.</t>
  </si>
  <si>
    <t xml:space="preserve">tyrrel oxireduct resenha</t>
  </si>
  <si>
    <t xml:space="preserve">/progressivas/tyrrel-oxireduct-resenha</t>
  </si>
  <si>
    <t xml:space="preserve">onixx progressiva resenha</t>
  </si>
  <si>
    <t xml:space="preserve">/progressivas/onixx-progressiva-resenha</t>
  </si>
  <si>
    <t xml:space="preserve">forever liss progressiva resenha</t>
  </si>
  <si>
    <t xml:space="preserve">/progressivas/forever-liss-resenha</t>
  </si>
  <si>
    <t xml:space="preserve">paioll bambu progressiva resenha</t>
  </si>
  <si>
    <t xml:space="preserve">/progressivas/paioll-bambu-resenha</t>
  </si>
  <si>
    <t xml:space="preserve">Progressiva de bambu — nicho crescente.</t>
  </si>
  <si>
    <t xml:space="preserve">salvatore progressiva resenha</t>
  </si>
  <si>
    <t xml:space="preserve">/progressivas/salvatore-resenha</t>
  </si>
  <si>
    <t xml:space="preserve">bio lizz progressiva resenha</t>
  </si>
  <si>
    <t xml:space="preserve">/progressivas/bio-lizz-resenha</t>
  </si>
  <si>
    <t xml:space="preserve">Comparativo</t>
  </si>
  <si>
    <t xml:space="preserve">fashion gold ou borabella</t>
  </si>
  <si>
    <t xml:space="preserve">B · Comparativo</t>
  </si>
  <si>
    <t xml:space="preserve">/progressivas/fashion-gold-vs-borabella</t>
  </si>
  <si>
    <t xml:space="preserve">Duas premium — comparativo de alta conversão.</t>
  </si>
  <si>
    <t xml:space="preserve">borabella ou prohall select one</t>
  </si>
  <si>
    <t xml:space="preserve">/progressivas/borabella-vs-prohall-select-one</t>
  </si>
  <si>
    <t xml:space="preserve">Premium vs custo-benefício.</t>
  </si>
  <si>
    <t xml:space="preserve">prohall select one ou let me be</t>
  </si>
  <si>
    <t xml:space="preserve">/progressivas/prohall-vs-let-me-be</t>
  </si>
  <si>
    <t xml:space="preserve">progressiva orgânica ou sem formol diferença</t>
  </si>
  <si>
    <t xml:space="preserve">Informacional</t>
  </si>
  <si>
    <t xml:space="preserve">D · Dúvida</t>
  </si>
  <si>
    <t xml:space="preserve">/progressivas/progressiva-organica-vs-sem-formol</t>
  </si>
  <si>
    <t xml:space="preserve">Dúvida comum — bom para featured snippet.</t>
  </si>
  <si>
    <t xml:space="preserve">progressiva sem formol para cabelo cacheado</t>
  </si>
  <si>
    <t xml:space="preserve">/progressivas/progressiva-sem-formol-cabelo-cacheado</t>
  </si>
  <si>
    <t xml:space="preserve">progressiva sem formol para cabelo crespo</t>
  </si>
  <si>
    <t xml:space="preserve">/progressivas/progressiva-sem-formol-cabelo-crespo</t>
  </si>
  <si>
    <t xml:space="preserve">progressiva sem formol para cabelo ondulado</t>
  </si>
  <si>
    <t xml:space="preserve">/progressivas/progressiva-sem-formol-cabelo-ondulado</t>
  </si>
  <si>
    <t xml:space="preserve">progressiva sem formol para cabelo fino</t>
  </si>
  <si>
    <t xml:space="preserve">/progressivas/progressiva-sem-formol-cabelo-fino</t>
  </si>
  <si>
    <t xml:space="preserve">Cuidado com pausa/temperatura — bom ângulo técnico.</t>
  </si>
  <si>
    <t xml:space="preserve">progressiva sem formol para cabelo grosso</t>
  </si>
  <si>
    <t xml:space="preserve">/progressivas/progressiva-sem-formol-cabelo-grosso</t>
  </si>
  <si>
    <t xml:space="preserve">progressiva para loiras sem amarelar</t>
  </si>
  <si>
    <t xml:space="preserve">/progressivas/progressiva-para-loiras-sem-amarelar</t>
  </si>
  <si>
    <t xml:space="preserve">Loiro/descolorido. Dor real: não amarelar/chumbar.</t>
  </si>
  <si>
    <t xml:space="preserve">progressiva sem formol para cabelo com henê</t>
  </si>
  <si>
    <t xml:space="preserve">/progressivas/progressiva-sem-formol-cabelo-com-hene</t>
  </si>
  <si>
    <t xml:space="preserve">Compatibilidade química — dúvida específica.</t>
  </si>
  <si>
    <t xml:space="preserve">progressiva sem formol para cabelo curto</t>
  </si>
  <si>
    <t xml:space="preserve">/progressivas/progressiva-sem-formol-cabelo-curto</t>
  </si>
  <si>
    <t xml:space="preserve">Dúvida/Segurança</t>
  </si>
  <si>
    <t xml:space="preserve">progressiva sem formol faz mal</t>
  </si>
  <si>
    <t xml:space="preserve">/progressivas/progressiva-sem-formol-faz-mal</t>
  </si>
  <si>
    <t xml:space="preserve">Grande volume informacional — puxa muito tráfego.</t>
  </si>
  <si>
    <t xml:space="preserve">progressiva sem formol estraga o cabelo</t>
  </si>
  <si>
    <t xml:space="preserve">/progressivas/progressiva-sem-formol-estraga-o-cabelo</t>
  </si>
  <si>
    <t xml:space="preserve">progressiva orgânica tem formol</t>
  </si>
  <si>
    <t xml:space="preserve">/progressivas/progressiva-organica-tem-formol</t>
  </si>
  <si>
    <t xml:space="preserve">progressiva sem formol tem glioxílico</t>
  </si>
  <si>
    <t xml:space="preserve">/progressivas/progressiva-sem-formol-tem-glioxilico</t>
  </si>
  <si>
    <t xml:space="preserve">Anvisa restringiu glioxílico — tema quente e atual.</t>
  </si>
  <si>
    <t xml:space="preserve">progressiva sem formol x sem amônia</t>
  </si>
  <si>
    <t xml:space="preserve">/progressivas/sem-formol-vs-sem-amonia</t>
  </si>
  <si>
    <t xml:space="preserve">quanto tempo dura progressiva sem formol</t>
  </si>
  <si>
    <t xml:space="preserve">/progressivas/quanto-tempo-dura</t>
  </si>
  <si>
    <t xml:space="preserve">progressiva sem formol pode passar quantas vezes</t>
  </si>
  <si>
    <t xml:space="preserve">/progressivas/pode-passar-quantas-vezes</t>
  </si>
  <si>
    <t xml:space="preserve">⚠️ pode passar progressiva grávida</t>
  </si>
  <si>
    <t xml:space="preserve">/progressivas/pode-passar-gravida</t>
  </si>
  <si>
    <t xml:space="preserve">⚠️ YMYL: só relato do fabricante + recomendar médico. NÃO afirmar segurança.</t>
  </si>
  <si>
    <t xml:space="preserve">progressiva sem formol clareia o cabelo</t>
  </si>
  <si>
    <t xml:space="preserve">/progressivas/clareia-o-cabelo</t>
  </si>
  <si>
    <t xml:space="preserve">2. Chapinhas</t>
  </si>
  <si>
    <t xml:space="preserve">melhor chapinha para progressiva</t>
  </si>
  <si>
    <t xml:space="preserve">/chapinhas/melhor-chapinha-para-progressiva</t>
  </si>
  <si>
    <t xml:space="preserve">Saturado (Promobit, Meliuz, ML, mybest). Fase 4.</t>
  </si>
  <si>
    <t xml:space="preserve">melhor chapinha profissional</t>
  </si>
  <si>
    <t xml:space="preserve">/chapinhas/melhor-chapinha-profissional</t>
  </si>
  <si>
    <t xml:space="preserve">melhor chapinha de titânio</t>
  </si>
  <si>
    <t xml:space="preserve">/chapinhas/melhor-chapinha-titanio</t>
  </si>
  <si>
    <t xml:space="preserve">taiff style pro titanium resenha</t>
  </si>
  <si>
    <t xml:space="preserve">/chapinhas/taiff-style-pro-titanium-resenha</t>
  </si>
  <si>
    <t xml:space="preserve">Apontada como melhor geral em vários rankings.</t>
  </si>
  <si>
    <t xml:space="preserve">lizze extreme resenha</t>
  </si>
  <si>
    <t xml:space="preserve">/chapinhas/lizze-extreme-resenha</t>
  </si>
  <si>
    <t xml:space="preserve">250°C reais — ângulo: cuidado com fio fino/descolorido.</t>
  </si>
  <si>
    <t xml:space="preserve">mq pro 480 titanium resenha</t>
  </si>
  <si>
    <t xml:space="preserve">/chapinhas/mq-pro-480-titanium-resenha</t>
  </si>
  <si>
    <t xml:space="preserve">17 níveis — favorita para loiras/descolorido.</t>
  </si>
  <si>
    <t xml:space="preserve">mq max 480 slim resenha</t>
  </si>
  <si>
    <t xml:space="preserve">/chapinhas/mq-max-480-slim-resenha</t>
  </si>
  <si>
    <t xml:space="preserve">Perfil fino/slim — bom para raiz e cabelo curto.</t>
  </si>
  <si>
    <t xml:space="preserve">taiff vulcan resenha</t>
  </si>
  <si>
    <t xml:space="preserve">/chapinhas/taiff-vulcan-resenha</t>
  </si>
  <si>
    <t xml:space="preserve">MCH recupera calor em ~10s; bordas estreitas p/ raiz.</t>
  </si>
  <si>
    <t xml:space="preserve">babyliss nano titanium resenha</t>
  </si>
  <si>
    <t xml:space="preserve">/chapinhas/babyliss-nano-titanium-resenha</t>
  </si>
  <si>
    <t xml:space="preserve">gama g-evo resenha</t>
  </si>
  <si>
    <t xml:space="preserve">/chapinhas/gama-g-evo-resenha</t>
  </si>
  <si>
    <t xml:space="preserve">IHT: 250°C em ~20s (Ga.Ma Italy).</t>
  </si>
  <si>
    <t xml:space="preserve">taiff titanium 450 resenha</t>
  </si>
  <si>
    <t xml:space="preserve">/chapinhas/taiff-titanium-450-resenha</t>
  </si>
  <si>
    <t xml:space="preserve">salon line progress resenha</t>
  </si>
  <si>
    <t xml:space="preserve">/chapinhas/salon-line-progress-resenha</t>
  </si>
  <si>
    <t xml:space="preserve">Opção com regulagem — boa para fio fino.</t>
  </si>
  <si>
    <t xml:space="preserve">titânio ou cerâmica chapinha</t>
  </si>
  <si>
    <t xml:space="preserve">/chapinhas/titanio-ou-ceramica</t>
  </si>
  <si>
    <t xml:space="preserve">Dúvida central do nicho: difícil/volumoso=titânio, fino=cerâmica.</t>
  </si>
  <si>
    <t xml:space="preserve">lizze extreme ou mq 480</t>
  </si>
  <si>
    <t xml:space="preserve">/chapinhas/lizze-extreme-vs-mq-480</t>
  </si>
  <si>
    <t xml:space="preserve">Temperatura fixa vs 17 níveis.</t>
  </si>
  <si>
    <t xml:space="preserve">taiff style pro ou babyliss</t>
  </si>
  <si>
    <t xml:space="preserve">/chapinhas/taiff-style-pro-vs-babyliss</t>
  </si>
  <si>
    <t xml:space="preserve">taiff vulcan ou lizze extreme</t>
  </si>
  <si>
    <t xml:space="preserve">/chapinhas/taiff-vulcan-vs-lizze-extreme</t>
  </si>
  <si>
    <t xml:space="preserve">melhor chapinha para cabelo fino</t>
  </si>
  <si>
    <t xml:space="preserve">/chapinhas/melhor-chapinha-cabelo-fino</t>
  </si>
  <si>
    <t xml:space="preserve">Recomendar cerâmica/regulagem baixa (120–150°C).</t>
  </si>
  <si>
    <t xml:space="preserve">melhor chapinha para cabelo cacheado</t>
  </si>
  <si>
    <t xml:space="preserve">/chapinhas/melhor-chapinha-cabelo-cacheado</t>
  </si>
  <si>
    <t xml:space="preserve">melhor chapinha para cabelo crespo</t>
  </si>
  <si>
    <t xml:space="preserve">/chapinhas/melhor-chapinha-cabelo-crespo</t>
  </si>
  <si>
    <t xml:space="preserve">melhor chapinha para cabelo com química</t>
  </si>
  <si>
    <t xml:space="preserve">/chapinhas/melhor-chapinha-cabelo-com-quimica</t>
  </si>
  <si>
    <t xml:space="preserve">Técnica/Uso</t>
  </si>
  <si>
    <t xml:space="preserve">temperatura chapinha para progressiva</t>
  </si>
  <si>
    <t xml:space="preserve">/chapinhas/temperatura-chapinha-progressiva</t>
  </si>
  <si>
    <t xml:space="preserve">Tabela de temperatura por tipo de fio — muito buscado.</t>
  </si>
  <si>
    <t xml:space="preserve">qual temperatura chapinha cabelo fino</t>
  </si>
  <si>
    <t xml:space="preserve">/chapinhas/temperatura-cabelo-fino</t>
  </si>
  <si>
    <t xml:space="preserve">qual temperatura chapinha cabelo descolorido</t>
  </si>
  <si>
    <t xml:space="preserve">/chapinhas/temperatura-cabelo-descolorido</t>
  </si>
  <si>
    <t xml:space="preserve">diferença chapinha comum e de progressiva</t>
  </si>
  <si>
    <t xml:space="preserve">/chapinhas/diferenca-chapinha-comum-progressiva</t>
  </si>
  <si>
    <t xml:space="preserve">chapinha 230 ou 250 graus</t>
  </si>
  <si>
    <t xml:space="preserve">/chapinhas/230-ou-250-graus</t>
  </si>
  <si>
    <t xml:space="preserve">como limpar chapinha de titânio</t>
  </si>
  <si>
    <t xml:space="preserve">/chapinhas/como-limpar-chapinha-titanio</t>
  </si>
  <si>
    <t xml:space="preserve">Pós-química (resíduo derretido nas placas).</t>
  </si>
  <si>
    <t xml:space="preserve">3. Chuveiro</t>
  </si>
  <si>
    <t xml:space="preserve">progressiva de chuveiro funciona</t>
  </si>
  <si>
    <t xml:space="preserve">/chuveiro/progressiva-de-chuveiro-funciona</t>
  </si>
  <si>
    <t xml:space="preserve">Pilar do silo — pergunta com alto volume.</t>
  </si>
  <si>
    <t xml:space="preserve">hidraliso funciona</t>
  </si>
  <si>
    <t xml:space="preserve">/chuveiro/hidraliso-resenha</t>
  </si>
  <si>
    <t xml:space="preserve">'Queridinha do Instagram' — alta busca de resenha.</t>
  </si>
  <si>
    <t xml:space="preserve">la bella liss progressiva chuveiro resenha</t>
  </si>
  <si>
    <t xml:space="preserve">/chuveiro/la-bella-liss-resenha</t>
  </si>
  <si>
    <t xml:space="preserve">Ângulo: a 'baratinha' funciona?</t>
  </si>
  <si>
    <t xml:space="preserve">phinna shower liss resenha</t>
  </si>
  <si>
    <t xml:space="preserve">/chuveiro/phinna-shower-liss-resenha</t>
  </si>
  <si>
    <t xml:space="preserve">melhores progressivas de chuveiro</t>
  </si>
  <si>
    <t xml:space="preserve">/chuveiro/melhores-progressivas-de-chuveiro</t>
  </si>
  <si>
    <t xml:space="preserve">Ranking do silo — apoia o pilar.</t>
  </si>
  <si>
    <t xml:space="preserve">progressiva de chuveiro alisa mesmo</t>
  </si>
  <si>
    <t xml:space="preserve">/chuveiro/progressiva-de-chuveiro-alisa-mesmo</t>
  </si>
  <si>
    <t xml:space="preserve">progressiva de chuveiro x de salão</t>
  </si>
  <si>
    <t xml:space="preserve">/chuveiro/chuveiro-vs-salao</t>
  </si>
  <si>
    <t xml:space="preserve">Expectativa realista: alinhamento vs alisamento.</t>
  </si>
  <si>
    <t xml:space="preserve">progressiva de chuveiro faz mal</t>
  </si>
  <si>
    <t xml:space="preserve">/chuveiro/faz-mal</t>
  </si>
  <si>
    <t xml:space="preserve">quanto tempo dura progressiva de chuveiro</t>
  </si>
  <si>
    <t xml:space="preserve">/chuveiro/quanto-tempo-dura</t>
  </si>
  <si>
    <t xml:space="preserve">4. Cuidados</t>
  </si>
  <si>
    <t xml:space="preserve">cronograma capilar pós progressiva</t>
  </si>
  <si>
    <t xml:space="preserve">/cuidados/cronograma-capilar-pos-progressiva</t>
  </si>
  <si>
    <t xml:space="preserve">Pilar topo de funil — linka p/ money pages dos outros silos.</t>
  </si>
  <si>
    <t xml:space="preserve">melhores shampoos pós progressiva</t>
  </si>
  <si>
    <t xml:space="preserve">/cuidados/melhores-shampoos-pos-progressiva</t>
  </si>
  <si>
    <t xml:space="preserve">Sulfato é inimigo do liso — monetiza shampoos.</t>
  </si>
  <si>
    <t xml:space="preserve">shampoo sem sulfato para progressiva</t>
  </si>
  <si>
    <t xml:space="preserve">/cuidados/shampoo-sem-sulfato-progressiva</t>
  </si>
  <si>
    <t xml:space="preserve">acidificação capilar para que serve</t>
  </si>
  <si>
    <t xml:space="preserve">/cuidados/acidificacao-capilar</t>
  </si>
  <si>
    <t xml:space="preserve">'Brilho espelhado' — ângulo pouco explorado.</t>
  </si>
  <si>
    <t xml:space="preserve">como fazer progressiva durar mais</t>
  </si>
  <si>
    <t xml:space="preserve">/cuidados/como-fazer-progressiva-durar-mais</t>
  </si>
  <si>
    <t xml:space="preserve">o que não pode fazer depois da progressiva</t>
  </si>
  <si>
    <t xml:space="preserve">/cuidados/o-que-nao-pode-depois-da-progressiva</t>
  </si>
  <si>
    <t xml:space="preserve">máscara de hidratação pós química</t>
  </si>
  <si>
    <t xml:space="preserve">/cuidados/melhor-mascara-hidratacao-pos-quimica</t>
  </si>
  <si>
    <t xml:space="preserve">Resumo da Lista Mestra</t>
  </si>
  <si>
    <t xml:space="preserve">Por silo</t>
  </si>
  <si>
    <t xml:space="preserve">Qtde</t>
  </si>
  <si>
    <t xml:space="preserve">TOTAL</t>
  </si>
  <si>
    <t xml:space="preserve">Por prioridade</t>
  </si>
  <si>
    <t xml:space="preserve">1 — Começar já</t>
  </si>
  <si>
    <t xml:space="preserve">2 — Médio prazo</t>
  </si>
  <si>
    <t xml:space="preserve">3 — Fase 4 (saturado)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</si>
</sst>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color rgb="FF444444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F0D9"/>
      </patternFill>
    </fill>
    <fill>
      <patternFill patternType="solid">
        <fgColor rgb="FFFCE4D6"/>
        <bgColor rgb="FFFFF2CC"/>
      </patternFill>
    </fill>
    <fill>
      <patternFill patternType="solid">
        <fgColor rgb="FFE2F0D9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444444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6"/>
    <col collapsed="false" customWidth="true" hidden="false" outlineLevel="0" max="5" min="3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23.85" hidden="false" customHeight="false" outlineLevel="0" collapsed="false">
      <c r="A5" s="3" t="s">
        <v>2</v>
      </c>
      <c r="B5" s="4" t="s">
        <v>3</v>
      </c>
    </row>
    <row r="6" customFormat="false" ht="23.85" hidden="false" customHeight="false" outlineLevel="0" collapsed="false">
      <c r="A6" s="3" t="s">
        <v>4</v>
      </c>
      <c r="B6" s="4" t="s">
        <v>5</v>
      </c>
    </row>
    <row r="7" customFormat="false" ht="15" hidden="false" customHeight="false" outlineLevel="0" collapsed="false">
      <c r="A7" s="3"/>
      <c r="B7" s="4"/>
    </row>
    <row r="8" customFormat="false" ht="23.85" hidden="false" customHeight="false" outlineLevel="0" collapsed="false">
      <c r="A8" s="3" t="s">
        <v>6</v>
      </c>
      <c r="B8" s="4"/>
    </row>
    <row r="9" customFormat="false" ht="23.85" hidden="false" customHeight="false" outlineLevel="0" collapsed="false">
      <c r="A9" s="3" t="s">
        <v>7</v>
      </c>
      <c r="B9" s="4" t="s">
        <v>8</v>
      </c>
    </row>
    <row r="10" customFormat="false" ht="23.85" hidden="false" customHeight="false" outlineLevel="0" collapsed="false">
      <c r="A10" s="3" t="s">
        <v>9</v>
      </c>
      <c r="B10" s="4" t="s">
        <v>10</v>
      </c>
    </row>
    <row r="11" customFormat="false" ht="15" hidden="false" customHeight="false" outlineLevel="0" collapsed="false">
      <c r="A11" s="3" t="s">
        <v>11</v>
      </c>
      <c r="B11" s="4" t="s">
        <v>12</v>
      </c>
    </row>
    <row r="12" customFormat="false" ht="15" hidden="false" customHeight="false" outlineLevel="0" collapsed="false">
      <c r="A12" s="3"/>
      <c r="B12" s="4"/>
    </row>
    <row r="13" customFormat="false" ht="23.85" hidden="false" customHeight="false" outlineLevel="0" collapsed="false">
      <c r="A13" s="3" t="s">
        <v>13</v>
      </c>
      <c r="B13" s="4"/>
    </row>
    <row r="14" customFormat="false" ht="23.85" hidden="false" customHeight="false" outlineLevel="0" collapsed="false">
      <c r="A14" s="3" t="s">
        <v>14</v>
      </c>
      <c r="B14" s="4" t="s">
        <v>15</v>
      </c>
    </row>
    <row r="15" customFormat="false" ht="15" hidden="false" customHeight="false" outlineLevel="0" collapsed="false">
      <c r="A15" s="3" t="s">
        <v>16</v>
      </c>
      <c r="B15" s="4" t="s">
        <v>17</v>
      </c>
    </row>
    <row r="16" customFormat="false" ht="23.85" hidden="false" customHeight="false" outlineLevel="0" collapsed="false">
      <c r="A16" s="3" t="s">
        <v>18</v>
      </c>
      <c r="B16" s="4" t="s">
        <v>19</v>
      </c>
    </row>
    <row r="17" customFormat="false" ht="15" hidden="false" customHeight="false" outlineLevel="0" collapsed="false">
      <c r="A17" s="3"/>
      <c r="B17" s="4"/>
    </row>
    <row r="18" customFormat="false" ht="23.85" hidden="false" customHeight="false" outlineLevel="0" collapsed="false">
      <c r="A18" s="5" t="s">
        <v>20</v>
      </c>
      <c r="B18" s="4" t="s">
        <v>21</v>
      </c>
    </row>
    <row r="19" customFormat="false" ht="15" hidden="false" customHeight="false" outlineLevel="0" collapsed="false">
      <c r="A19" s="3"/>
      <c r="B19" s="4"/>
    </row>
    <row r="20" customFormat="false" ht="15" hidden="false" customHeight="false" outlineLevel="0" collapsed="false">
      <c r="A20" s="5" t="s">
        <v>22</v>
      </c>
      <c r="B20" s="4" t="s">
        <v>23</v>
      </c>
    </row>
    <row r="22" customFormat="false" ht="15" hidden="false" customHeight="false" outlineLevel="0" collapsed="false">
      <c r="A22" s="6" t="s">
        <v>24</v>
      </c>
      <c r="B22" s="6" t="s">
        <v>25</v>
      </c>
      <c r="C22" s="6" t="s">
        <v>7</v>
      </c>
      <c r="D22" s="6" t="s">
        <v>9</v>
      </c>
      <c r="E22" s="6" t="s">
        <v>11</v>
      </c>
    </row>
    <row r="23" customFormat="false" ht="15" hidden="false" customHeight="false" outlineLevel="0" collapsed="false">
      <c r="A23" s="7" t="s">
        <v>26</v>
      </c>
      <c r="B23" s="7" t="s">
        <v>27</v>
      </c>
      <c r="C23" s="8" t="n">
        <v>1600</v>
      </c>
      <c r="D23" s="8" t="s">
        <v>28</v>
      </c>
      <c r="E23" s="8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4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46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5"/>
    <col collapsed="false" customWidth="true" hidden="false" outlineLevel="0" max="13" min="13" style="0" width="13"/>
    <col collapsed="false" customWidth="true" hidden="false" outlineLevel="0" max="14" min="14" style="0" width="52"/>
  </cols>
  <sheetData>
    <row r="1" customFormat="false" ht="30" hidden="false" customHeight="true" outlineLevel="0" collapsed="false">
      <c r="A1" s="9" t="s">
        <v>30</v>
      </c>
      <c r="B1" s="9" t="s">
        <v>31</v>
      </c>
      <c r="C1" s="9" t="s">
        <v>32</v>
      </c>
      <c r="D1" s="9" t="s">
        <v>24</v>
      </c>
      <c r="E1" s="9" t="s">
        <v>33</v>
      </c>
      <c r="F1" s="9" t="s">
        <v>18</v>
      </c>
      <c r="G1" s="9" t="s">
        <v>34</v>
      </c>
      <c r="H1" s="9" t="s">
        <v>25</v>
      </c>
      <c r="I1" s="9" t="s">
        <v>35</v>
      </c>
      <c r="J1" s="9" t="s">
        <v>16</v>
      </c>
      <c r="K1" s="9" t="s">
        <v>7</v>
      </c>
      <c r="L1" s="9" t="s">
        <v>9</v>
      </c>
      <c r="M1" s="9" t="s">
        <v>11</v>
      </c>
      <c r="N1" s="9" t="s">
        <v>36</v>
      </c>
    </row>
    <row r="2" customFormat="false" ht="23.85" hidden="false" customHeight="false" outlineLevel="0" collapsed="false">
      <c r="A2" s="10" t="n">
        <v>1</v>
      </c>
      <c r="B2" s="11" t="s">
        <v>37</v>
      </c>
      <c r="C2" s="11" t="s">
        <v>38</v>
      </c>
      <c r="D2" s="11" t="s">
        <v>39</v>
      </c>
      <c r="E2" s="11" t="s">
        <v>40</v>
      </c>
      <c r="F2" s="10" t="s">
        <v>38</v>
      </c>
      <c r="G2" s="11" t="s">
        <v>41</v>
      </c>
      <c r="H2" s="10" t="s">
        <v>42</v>
      </c>
      <c r="I2" s="10" t="s">
        <v>42</v>
      </c>
      <c r="J2" s="12" t="n">
        <v>3</v>
      </c>
      <c r="K2" s="13"/>
      <c r="L2" s="13"/>
      <c r="M2" s="13" t="s">
        <v>43</v>
      </c>
      <c r="N2" s="11" t="s">
        <v>44</v>
      </c>
    </row>
    <row r="3" customFormat="false" ht="15" hidden="false" customHeight="false" outlineLevel="0" collapsed="false">
      <c r="A3" s="10" t="n">
        <v>2</v>
      </c>
      <c r="B3" s="11" t="s">
        <v>37</v>
      </c>
      <c r="C3" s="11" t="s">
        <v>38</v>
      </c>
      <c r="D3" s="11" t="s">
        <v>45</v>
      </c>
      <c r="E3" s="11" t="s">
        <v>40</v>
      </c>
      <c r="F3" s="10" t="s">
        <v>38</v>
      </c>
      <c r="G3" s="11" t="s">
        <v>41</v>
      </c>
      <c r="H3" s="10" t="s">
        <v>42</v>
      </c>
      <c r="I3" s="10" t="s">
        <v>42</v>
      </c>
      <c r="J3" s="12" t="n">
        <v>3</v>
      </c>
      <c r="K3" s="13"/>
      <c r="L3" s="13"/>
      <c r="M3" s="13" t="s">
        <v>43</v>
      </c>
      <c r="N3" s="11" t="s">
        <v>46</v>
      </c>
    </row>
    <row r="4" customFormat="false" ht="15" hidden="false" customHeight="false" outlineLevel="0" collapsed="false">
      <c r="A4" s="10" t="n">
        <v>3</v>
      </c>
      <c r="B4" s="11" t="s">
        <v>37</v>
      </c>
      <c r="C4" s="11" t="s">
        <v>38</v>
      </c>
      <c r="D4" s="11" t="s">
        <v>47</v>
      </c>
      <c r="E4" s="11" t="s">
        <v>40</v>
      </c>
      <c r="F4" s="10" t="s">
        <v>38</v>
      </c>
      <c r="G4" s="11" t="s">
        <v>48</v>
      </c>
      <c r="H4" s="10" t="s">
        <v>27</v>
      </c>
      <c r="I4" s="10" t="s">
        <v>42</v>
      </c>
      <c r="J4" s="12" t="n">
        <v>3</v>
      </c>
      <c r="K4" s="13"/>
      <c r="L4" s="13"/>
      <c r="M4" s="13" t="s">
        <v>43</v>
      </c>
      <c r="N4" s="11" t="s">
        <v>49</v>
      </c>
    </row>
    <row r="5" customFormat="false" ht="15" hidden="false" customHeight="false" outlineLevel="0" collapsed="false">
      <c r="A5" s="10" t="n">
        <v>4</v>
      </c>
      <c r="B5" s="11" t="s">
        <v>37</v>
      </c>
      <c r="C5" s="11" t="s">
        <v>50</v>
      </c>
      <c r="D5" s="11" t="s">
        <v>51</v>
      </c>
      <c r="E5" s="11" t="s">
        <v>40</v>
      </c>
      <c r="F5" s="10" t="s">
        <v>52</v>
      </c>
      <c r="G5" s="11" t="s">
        <v>53</v>
      </c>
      <c r="H5" s="10" t="s">
        <v>27</v>
      </c>
      <c r="I5" s="10" t="s">
        <v>27</v>
      </c>
      <c r="J5" s="14" t="n">
        <v>2</v>
      </c>
      <c r="K5" s="13"/>
      <c r="L5" s="13"/>
      <c r="M5" s="13" t="s">
        <v>43</v>
      </c>
      <c r="N5" s="11" t="s">
        <v>54</v>
      </c>
    </row>
    <row r="6" customFormat="false" ht="23.85" hidden="false" customHeight="false" outlineLevel="0" collapsed="false">
      <c r="A6" s="10" t="n">
        <v>5</v>
      </c>
      <c r="B6" s="11" t="s">
        <v>37</v>
      </c>
      <c r="C6" s="11" t="s">
        <v>55</v>
      </c>
      <c r="D6" s="11" t="s">
        <v>26</v>
      </c>
      <c r="E6" s="11" t="s">
        <v>40</v>
      </c>
      <c r="F6" s="10" t="s">
        <v>56</v>
      </c>
      <c r="G6" s="11" t="s">
        <v>57</v>
      </c>
      <c r="H6" s="10" t="s">
        <v>27</v>
      </c>
      <c r="I6" s="10" t="s">
        <v>58</v>
      </c>
      <c r="J6" s="15" t="n">
        <v>1</v>
      </c>
      <c r="K6" s="13"/>
      <c r="L6" s="13"/>
      <c r="M6" s="13" t="s">
        <v>43</v>
      </c>
      <c r="N6" s="11" t="s">
        <v>59</v>
      </c>
    </row>
    <row r="7" customFormat="false" ht="15" hidden="false" customHeight="false" outlineLevel="0" collapsed="false">
      <c r="A7" s="10" t="n">
        <v>6</v>
      </c>
      <c r="B7" s="11" t="s">
        <v>37</v>
      </c>
      <c r="C7" s="11" t="s">
        <v>55</v>
      </c>
      <c r="D7" s="11" t="s">
        <v>60</v>
      </c>
      <c r="E7" s="11" t="s">
        <v>40</v>
      </c>
      <c r="F7" s="10" t="s">
        <v>56</v>
      </c>
      <c r="G7" s="11" t="s">
        <v>61</v>
      </c>
      <c r="H7" s="10" t="s">
        <v>27</v>
      </c>
      <c r="I7" s="10" t="s">
        <v>58</v>
      </c>
      <c r="J7" s="15" t="n">
        <v>1</v>
      </c>
      <c r="K7" s="13"/>
      <c r="L7" s="13"/>
      <c r="M7" s="13" t="s">
        <v>43</v>
      </c>
      <c r="N7" s="11" t="s">
        <v>62</v>
      </c>
    </row>
    <row r="8" customFormat="false" ht="15" hidden="false" customHeight="false" outlineLevel="0" collapsed="false">
      <c r="A8" s="10" t="n">
        <v>7</v>
      </c>
      <c r="B8" s="11" t="s">
        <v>37</v>
      </c>
      <c r="C8" s="11" t="s">
        <v>55</v>
      </c>
      <c r="D8" s="11" t="s">
        <v>63</v>
      </c>
      <c r="E8" s="11" t="s">
        <v>40</v>
      </c>
      <c r="F8" s="10" t="s">
        <v>56</v>
      </c>
      <c r="G8" s="11" t="s">
        <v>64</v>
      </c>
      <c r="H8" s="10" t="s">
        <v>27</v>
      </c>
      <c r="I8" s="10" t="s">
        <v>58</v>
      </c>
      <c r="J8" s="15" t="n">
        <v>1</v>
      </c>
      <c r="K8" s="13"/>
      <c r="L8" s="13"/>
      <c r="M8" s="13" t="s">
        <v>43</v>
      </c>
      <c r="N8" s="11" t="s">
        <v>65</v>
      </c>
    </row>
    <row r="9" customFormat="false" ht="15" hidden="false" customHeight="false" outlineLevel="0" collapsed="false">
      <c r="A9" s="10" t="n">
        <v>8</v>
      </c>
      <c r="B9" s="11" t="s">
        <v>37</v>
      </c>
      <c r="C9" s="11" t="s">
        <v>55</v>
      </c>
      <c r="D9" s="11" t="s">
        <v>66</v>
      </c>
      <c r="E9" s="11" t="s">
        <v>40</v>
      </c>
      <c r="F9" s="10" t="s">
        <v>56</v>
      </c>
      <c r="G9" s="11" t="s">
        <v>67</v>
      </c>
      <c r="H9" s="10" t="s">
        <v>58</v>
      </c>
      <c r="I9" s="10" t="s">
        <v>58</v>
      </c>
      <c r="J9" s="15" t="n">
        <v>1</v>
      </c>
      <c r="K9" s="13"/>
      <c r="L9" s="13"/>
      <c r="M9" s="13" t="s">
        <v>43</v>
      </c>
      <c r="N9" s="11"/>
    </row>
    <row r="10" customFormat="false" ht="15" hidden="false" customHeight="false" outlineLevel="0" collapsed="false">
      <c r="A10" s="10" t="n">
        <v>9</v>
      </c>
      <c r="B10" s="11" t="s">
        <v>37</v>
      </c>
      <c r="C10" s="11" t="s">
        <v>55</v>
      </c>
      <c r="D10" s="11" t="s">
        <v>68</v>
      </c>
      <c r="E10" s="11" t="s">
        <v>40</v>
      </c>
      <c r="F10" s="10" t="s">
        <v>56</v>
      </c>
      <c r="G10" s="11" t="s">
        <v>69</v>
      </c>
      <c r="H10" s="10" t="s">
        <v>58</v>
      </c>
      <c r="I10" s="10" t="s">
        <v>58</v>
      </c>
      <c r="J10" s="15" t="n">
        <v>1</v>
      </c>
      <c r="K10" s="13"/>
      <c r="L10" s="13"/>
      <c r="M10" s="13" t="s">
        <v>43</v>
      </c>
      <c r="N10" s="11"/>
    </row>
    <row r="11" customFormat="false" ht="15" hidden="false" customHeight="false" outlineLevel="0" collapsed="false">
      <c r="A11" s="10" t="n">
        <v>10</v>
      </c>
      <c r="B11" s="11" t="s">
        <v>37</v>
      </c>
      <c r="C11" s="11" t="s">
        <v>55</v>
      </c>
      <c r="D11" s="11" t="s">
        <v>70</v>
      </c>
      <c r="E11" s="11" t="s">
        <v>40</v>
      </c>
      <c r="F11" s="10" t="s">
        <v>56</v>
      </c>
      <c r="G11" s="11" t="s">
        <v>71</v>
      </c>
      <c r="H11" s="10" t="s">
        <v>58</v>
      </c>
      <c r="I11" s="10" t="s">
        <v>58</v>
      </c>
      <c r="J11" s="15" t="n">
        <v>1</v>
      </c>
      <c r="K11" s="13"/>
      <c r="L11" s="13"/>
      <c r="M11" s="13" t="s">
        <v>43</v>
      </c>
      <c r="N11" s="11"/>
    </row>
    <row r="12" customFormat="false" ht="15" hidden="false" customHeight="false" outlineLevel="0" collapsed="false">
      <c r="A12" s="10" t="n">
        <v>11</v>
      </c>
      <c r="B12" s="11" t="s">
        <v>37</v>
      </c>
      <c r="C12" s="11" t="s">
        <v>55</v>
      </c>
      <c r="D12" s="11" t="s">
        <v>72</v>
      </c>
      <c r="E12" s="11" t="s">
        <v>40</v>
      </c>
      <c r="F12" s="10" t="s">
        <v>56</v>
      </c>
      <c r="G12" s="11" t="s">
        <v>73</v>
      </c>
      <c r="H12" s="10" t="s">
        <v>58</v>
      </c>
      <c r="I12" s="10" t="s">
        <v>58</v>
      </c>
      <c r="J12" s="15" t="n">
        <v>1</v>
      </c>
      <c r="K12" s="13"/>
      <c r="L12" s="13"/>
      <c r="M12" s="13" t="s">
        <v>43</v>
      </c>
      <c r="N12" s="11"/>
    </row>
    <row r="13" customFormat="false" ht="15" hidden="false" customHeight="false" outlineLevel="0" collapsed="false">
      <c r="A13" s="10" t="n">
        <v>12</v>
      </c>
      <c r="B13" s="11" t="s">
        <v>37</v>
      </c>
      <c r="C13" s="11" t="s">
        <v>55</v>
      </c>
      <c r="D13" s="11" t="s">
        <v>74</v>
      </c>
      <c r="E13" s="11" t="s">
        <v>40</v>
      </c>
      <c r="F13" s="10" t="s">
        <v>56</v>
      </c>
      <c r="G13" s="11" t="s">
        <v>75</v>
      </c>
      <c r="H13" s="10" t="s">
        <v>58</v>
      </c>
      <c r="I13" s="10" t="s">
        <v>58</v>
      </c>
      <c r="J13" s="15" t="n">
        <v>1</v>
      </c>
      <c r="K13" s="13"/>
      <c r="L13" s="13"/>
      <c r="M13" s="13" t="s">
        <v>43</v>
      </c>
      <c r="N13" s="11" t="s">
        <v>76</v>
      </c>
    </row>
    <row r="14" customFormat="false" ht="15" hidden="false" customHeight="false" outlineLevel="0" collapsed="false">
      <c r="A14" s="10" t="n">
        <v>13</v>
      </c>
      <c r="B14" s="11" t="s">
        <v>37</v>
      </c>
      <c r="C14" s="11" t="s">
        <v>55</v>
      </c>
      <c r="D14" s="11" t="s">
        <v>77</v>
      </c>
      <c r="E14" s="11" t="s">
        <v>40</v>
      </c>
      <c r="F14" s="10" t="s">
        <v>56</v>
      </c>
      <c r="G14" s="11" t="s">
        <v>78</v>
      </c>
      <c r="H14" s="10" t="s">
        <v>58</v>
      </c>
      <c r="I14" s="10" t="s">
        <v>58</v>
      </c>
      <c r="J14" s="15" t="n">
        <v>1</v>
      </c>
      <c r="K14" s="13"/>
      <c r="L14" s="13"/>
      <c r="M14" s="13" t="s">
        <v>43</v>
      </c>
      <c r="N14" s="11"/>
    </row>
    <row r="15" customFormat="false" ht="15" hidden="false" customHeight="false" outlineLevel="0" collapsed="false">
      <c r="A15" s="10" t="n">
        <v>14</v>
      </c>
      <c r="B15" s="11" t="s">
        <v>37</v>
      </c>
      <c r="C15" s="11" t="s">
        <v>55</v>
      </c>
      <c r="D15" s="11" t="s">
        <v>79</v>
      </c>
      <c r="E15" s="11" t="s">
        <v>40</v>
      </c>
      <c r="F15" s="10" t="s">
        <v>56</v>
      </c>
      <c r="G15" s="11" t="s">
        <v>80</v>
      </c>
      <c r="H15" s="10" t="s">
        <v>58</v>
      </c>
      <c r="I15" s="10" t="s">
        <v>58</v>
      </c>
      <c r="J15" s="15" t="n">
        <v>1</v>
      </c>
      <c r="K15" s="13"/>
      <c r="L15" s="13"/>
      <c r="M15" s="13" t="s">
        <v>43</v>
      </c>
      <c r="N15" s="11"/>
    </row>
    <row r="16" customFormat="false" ht="15" hidden="false" customHeight="false" outlineLevel="0" collapsed="false">
      <c r="A16" s="10" t="n">
        <v>15</v>
      </c>
      <c r="B16" s="11" t="s">
        <v>37</v>
      </c>
      <c r="C16" s="11" t="s">
        <v>55</v>
      </c>
      <c r="D16" s="11" t="s">
        <v>81</v>
      </c>
      <c r="E16" s="11" t="s">
        <v>40</v>
      </c>
      <c r="F16" s="10" t="s">
        <v>56</v>
      </c>
      <c r="G16" s="11" t="s">
        <v>82</v>
      </c>
      <c r="H16" s="10" t="s">
        <v>58</v>
      </c>
      <c r="I16" s="10" t="s">
        <v>58</v>
      </c>
      <c r="J16" s="15" t="n">
        <v>1</v>
      </c>
      <c r="K16" s="13"/>
      <c r="L16" s="13"/>
      <c r="M16" s="13" t="s">
        <v>43</v>
      </c>
      <c r="N16" s="11"/>
    </row>
    <row r="17" customFormat="false" ht="15" hidden="false" customHeight="false" outlineLevel="0" collapsed="false">
      <c r="A17" s="10" t="n">
        <v>16</v>
      </c>
      <c r="B17" s="11" t="s">
        <v>37</v>
      </c>
      <c r="C17" s="11" t="s">
        <v>55</v>
      </c>
      <c r="D17" s="11" t="s">
        <v>83</v>
      </c>
      <c r="E17" s="11" t="s">
        <v>40</v>
      </c>
      <c r="F17" s="10" t="s">
        <v>56</v>
      </c>
      <c r="G17" s="11" t="s">
        <v>84</v>
      </c>
      <c r="H17" s="10" t="s">
        <v>58</v>
      </c>
      <c r="I17" s="10" t="s">
        <v>58</v>
      </c>
      <c r="J17" s="15" t="n">
        <v>1</v>
      </c>
      <c r="K17" s="13"/>
      <c r="L17" s="13"/>
      <c r="M17" s="13" t="s">
        <v>43</v>
      </c>
      <c r="N17" s="11" t="s">
        <v>85</v>
      </c>
    </row>
    <row r="18" customFormat="false" ht="15" hidden="false" customHeight="false" outlineLevel="0" collapsed="false">
      <c r="A18" s="10" t="n">
        <v>17</v>
      </c>
      <c r="B18" s="11" t="s">
        <v>37</v>
      </c>
      <c r="C18" s="11" t="s">
        <v>55</v>
      </c>
      <c r="D18" s="11" t="s">
        <v>86</v>
      </c>
      <c r="E18" s="11" t="s">
        <v>40</v>
      </c>
      <c r="F18" s="10" t="s">
        <v>56</v>
      </c>
      <c r="G18" s="11" t="s">
        <v>87</v>
      </c>
      <c r="H18" s="10" t="s">
        <v>58</v>
      </c>
      <c r="I18" s="10" t="s">
        <v>58</v>
      </c>
      <c r="J18" s="15" t="n">
        <v>1</v>
      </c>
      <c r="K18" s="13"/>
      <c r="L18" s="13"/>
      <c r="M18" s="13" t="s">
        <v>43</v>
      </c>
      <c r="N18" s="11"/>
    </row>
    <row r="19" customFormat="false" ht="15" hidden="false" customHeight="false" outlineLevel="0" collapsed="false">
      <c r="A19" s="10" t="n">
        <v>18</v>
      </c>
      <c r="B19" s="11" t="s">
        <v>37</v>
      </c>
      <c r="C19" s="11" t="s">
        <v>55</v>
      </c>
      <c r="D19" s="11" t="s">
        <v>88</v>
      </c>
      <c r="E19" s="11" t="s">
        <v>40</v>
      </c>
      <c r="F19" s="10" t="s">
        <v>56</v>
      </c>
      <c r="G19" s="11" t="s">
        <v>89</v>
      </c>
      <c r="H19" s="10" t="s">
        <v>58</v>
      </c>
      <c r="I19" s="10" t="s">
        <v>58</v>
      </c>
      <c r="J19" s="15" t="n">
        <v>1</v>
      </c>
      <c r="K19" s="13"/>
      <c r="L19" s="13"/>
      <c r="M19" s="13" t="s">
        <v>43</v>
      </c>
      <c r="N19" s="11"/>
    </row>
    <row r="20" customFormat="false" ht="15" hidden="false" customHeight="false" outlineLevel="0" collapsed="false">
      <c r="A20" s="10" t="n">
        <v>19</v>
      </c>
      <c r="B20" s="11" t="s">
        <v>37</v>
      </c>
      <c r="C20" s="11" t="s">
        <v>90</v>
      </c>
      <c r="D20" s="11" t="s">
        <v>91</v>
      </c>
      <c r="E20" s="11" t="s">
        <v>90</v>
      </c>
      <c r="F20" s="10" t="s">
        <v>92</v>
      </c>
      <c r="G20" s="11" t="s">
        <v>93</v>
      </c>
      <c r="H20" s="10" t="s">
        <v>58</v>
      </c>
      <c r="I20" s="10" t="s">
        <v>58</v>
      </c>
      <c r="J20" s="15" t="n">
        <v>1</v>
      </c>
      <c r="K20" s="13"/>
      <c r="L20" s="13"/>
      <c r="M20" s="13" t="s">
        <v>43</v>
      </c>
      <c r="N20" s="11" t="s">
        <v>94</v>
      </c>
    </row>
    <row r="21" customFormat="false" ht="15" hidden="false" customHeight="false" outlineLevel="0" collapsed="false">
      <c r="A21" s="10" t="n">
        <v>20</v>
      </c>
      <c r="B21" s="11" t="s">
        <v>37</v>
      </c>
      <c r="C21" s="11" t="s">
        <v>90</v>
      </c>
      <c r="D21" s="11" t="s">
        <v>95</v>
      </c>
      <c r="E21" s="11" t="s">
        <v>90</v>
      </c>
      <c r="F21" s="10" t="s">
        <v>92</v>
      </c>
      <c r="G21" s="11" t="s">
        <v>96</v>
      </c>
      <c r="H21" s="10" t="s">
        <v>58</v>
      </c>
      <c r="I21" s="10" t="s">
        <v>58</v>
      </c>
      <c r="J21" s="15" t="n">
        <v>1</v>
      </c>
      <c r="K21" s="13"/>
      <c r="L21" s="13"/>
      <c r="M21" s="13" t="s">
        <v>43</v>
      </c>
      <c r="N21" s="11" t="s">
        <v>97</v>
      </c>
    </row>
    <row r="22" customFormat="false" ht="15" hidden="false" customHeight="false" outlineLevel="0" collapsed="false">
      <c r="A22" s="10" t="n">
        <v>21</v>
      </c>
      <c r="B22" s="11" t="s">
        <v>37</v>
      </c>
      <c r="C22" s="11" t="s">
        <v>90</v>
      </c>
      <c r="D22" s="11" t="s">
        <v>98</v>
      </c>
      <c r="E22" s="11" t="s">
        <v>90</v>
      </c>
      <c r="F22" s="10" t="s">
        <v>92</v>
      </c>
      <c r="G22" s="11" t="s">
        <v>99</v>
      </c>
      <c r="H22" s="10" t="s">
        <v>58</v>
      </c>
      <c r="I22" s="10" t="s">
        <v>58</v>
      </c>
      <c r="J22" s="15" t="n">
        <v>1</v>
      </c>
      <c r="K22" s="13"/>
      <c r="L22" s="13"/>
      <c r="M22" s="13" t="s">
        <v>43</v>
      </c>
      <c r="N22" s="11"/>
    </row>
    <row r="23" customFormat="false" ht="15" hidden="false" customHeight="false" outlineLevel="0" collapsed="false">
      <c r="A23" s="10" t="n">
        <v>22</v>
      </c>
      <c r="B23" s="11" t="s">
        <v>37</v>
      </c>
      <c r="C23" s="11" t="s">
        <v>90</v>
      </c>
      <c r="D23" s="11" t="s">
        <v>100</v>
      </c>
      <c r="E23" s="11" t="s">
        <v>101</v>
      </c>
      <c r="F23" s="10" t="s">
        <v>102</v>
      </c>
      <c r="G23" s="11" t="s">
        <v>103</v>
      </c>
      <c r="H23" s="10" t="s">
        <v>27</v>
      </c>
      <c r="I23" s="10" t="s">
        <v>58</v>
      </c>
      <c r="J23" s="15" t="n">
        <v>1</v>
      </c>
      <c r="K23" s="13"/>
      <c r="L23" s="13"/>
      <c r="M23" s="13" t="s">
        <v>43</v>
      </c>
      <c r="N23" s="11" t="s">
        <v>104</v>
      </c>
    </row>
    <row r="24" customFormat="false" ht="15" hidden="false" customHeight="false" outlineLevel="0" collapsed="false">
      <c r="A24" s="10" t="n">
        <v>23</v>
      </c>
      <c r="B24" s="11" t="s">
        <v>37</v>
      </c>
      <c r="C24" s="11" t="s">
        <v>50</v>
      </c>
      <c r="D24" s="11" t="s">
        <v>105</v>
      </c>
      <c r="E24" s="11" t="s">
        <v>40</v>
      </c>
      <c r="F24" s="10" t="s">
        <v>52</v>
      </c>
      <c r="G24" s="11" t="s">
        <v>106</v>
      </c>
      <c r="H24" s="10" t="s">
        <v>27</v>
      </c>
      <c r="I24" s="10" t="s">
        <v>58</v>
      </c>
      <c r="J24" s="15" t="n">
        <v>1</v>
      </c>
      <c r="K24" s="13"/>
      <c r="L24" s="13"/>
      <c r="M24" s="13" t="s">
        <v>43</v>
      </c>
      <c r="N24" s="11"/>
    </row>
    <row r="25" customFormat="false" ht="15" hidden="false" customHeight="false" outlineLevel="0" collapsed="false">
      <c r="A25" s="10" t="n">
        <v>24</v>
      </c>
      <c r="B25" s="11" t="s">
        <v>37</v>
      </c>
      <c r="C25" s="11" t="s">
        <v>50</v>
      </c>
      <c r="D25" s="11" t="s">
        <v>107</v>
      </c>
      <c r="E25" s="11" t="s">
        <v>40</v>
      </c>
      <c r="F25" s="10" t="s">
        <v>52</v>
      </c>
      <c r="G25" s="11" t="s">
        <v>108</v>
      </c>
      <c r="H25" s="10" t="s">
        <v>27</v>
      </c>
      <c r="I25" s="10" t="s">
        <v>58</v>
      </c>
      <c r="J25" s="15" t="n">
        <v>1</v>
      </c>
      <c r="K25" s="13"/>
      <c r="L25" s="13"/>
      <c r="M25" s="13" t="s">
        <v>43</v>
      </c>
      <c r="N25" s="11"/>
    </row>
    <row r="26" customFormat="false" ht="15" hidden="false" customHeight="false" outlineLevel="0" collapsed="false">
      <c r="A26" s="10" t="n">
        <v>25</v>
      </c>
      <c r="B26" s="11" t="s">
        <v>37</v>
      </c>
      <c r="C26" s="11" t="s">
        <v>50</v>
      </c>
      <c r="D26" s="11" t="s">
        <v>109</v>
      </c>
      <c r="E26" s="11" t="s">
        <v>40</v>
      </c>
      <c r="F26" s="10" t="s">
        <v>52</v>
      </c>
      <c r="G26" s="11" t="s">
        <v>110</v>
      </c>
      <c r="H26" s="10" t="s">
        <v>58</v>
      </c>
      <c r="I26" s="10" t="s">
        <v>58</v>
      </c>
      <c r="J26" s="15" t="n">
        <v>1</v>
      </c>
      <c r="K26" s="13"/>
      <c r="L26" s="13"/>
      <c r="M26" s="13" t="s">
        <v>43</v>
      </c>
      <c r="N26" s="11"/>
    </row>
    <row r="27" customFormat="false" ht="15" hidden="false" customHeight="false" outlineLevel="0" collapsed="false">
      <c r="A27" s="10" t="n">
        <v>26</v>
      </c>
      <c r="B27" s="11" t="s">
        <v>37</v>
      </c>
      <c r="C27" s="11" t="s">
        <v>50</v>
      </c>
      <c r="D27" s="11" t="s">
        <v>111</v>
      </c>
      <c r="E27" s="11" t="s">
        <v>40</v>
      </c>
      <c r="F27" s="10" t="s">
        <v>52</v>
      </c>
      <c r="G27" s="11" t="s">
        <v>112</v>
      </c>
      <c r="H27" s="10" t="s">
        <v>27</v>
      </c>
      <c r="I27" s="10" t="s">
        <v>58</v>
      </c>
      <c r="J27" s="15" t="n">
        <v>1</v>
      </c>
      <c r="K27" s="13"/>
      <c r="L27" s="13"/>
      <c r="M27" s="13" t="s">
        <v>43</v>
      </c>
      <c r="N27" s="11" t="s">
        <v>113</v>
      </c>
    </row>
    <row r="28" customFormat="false" ht="15" hidden="false" customHeight="false" outlineLevel="0" collapsed="false">
      <c r="A28" s="10" t="n">
        <v>27</v>
      </c>
      <c r="B28" s="11" t="s">
        <v>37</v>
      </c>
      <c r="C28" s="11" t="s">
        <v>50</v>
      </c>
      <c r="D28" s="11" t="s">
        <v>114</v>
      </c>
      <c r="E28" s="11" t="s">
        <v>40</v>
      </c>
      <c r="F28" s="10" t="s">
        <v>52</v>
      </c>
      <c r="G28" s="11" t="s">
        <v>115</v>
      </c>
      <c r="H28" s="10" t="s">
        <v>58</v>
      </c>
      <c r="I28" s="10" t="s">
        <v>58</v>
      </c>
      <c r="J28" s="15" t="n">
        <v>1</v>
      </c>
      <c r="K28" s="13"/>
      <c r="L28" s="13"/>
      <c r="M28" s="13" t="s">
        <v>43</v>
      </c>
      <c r="N28" s="11"/>
    </row>
    <row r="29" customFormat="false" ht="15" hidden="false" customHeight="false" outlineLevel="0" collapsed="false">
      <c r="A29" s="10" t="n">
        <v>28</v>
      </c>
      <c r="B29" s="11" t="s">
        <v>37</v>
      </c>
      <c r="C29" s="11" t="s">
        <v>50</v>
      </c>
      <c r="D29" s="11" t="s">
        <v>116</v>
      </c>
      <c r="E29" s="11" t="s">
        <v>40</v>
      </c>
      <c r="F29" s="10" t="s">
        <v>52</v>
      </c>
      <c r="G29" s="11" t="s">
        <v>117</v>
      </c>
      <c r="H29" s="10" t="s">
        <v>27</v>
      </c>
      <c r="I29" s="10" t="s">
        <v>58</v>
      </c>
      <c r="J29" s="15" t="n">
        <v>1</v>
      </c>
      <c r="K29" s="13"/>
      <c r="L29" s="13"/>
      <c r="M29" s="13" t="s">
        <v>43</v>
      </c>
      <c r="N29" s="11" t="s">
        <v>118</v>
      </c>
    </row>
    <row r="30" customFormat="false" ht="15" hidden="false" customHeight="false" outlineLevel="0" collapsed="false">
      <c r="A30" s="10" t="n">
        <v>29</v>
      </c>
      <c r="B30" s="11" t="s">
        <v>37</v>
      </c>
      <c r="C30" s="11" t="s">
        <v>50</v>
      </c>
      <c r="D30" s="11" t="s">
        <v>119</v>
      </c>
      <c r="E30" s="11" t="s">
        <v>40</v>
      </c>
      <c r="F30" s="10" t="s">
        <v>52</v>
      </c>
      <c r="G30" s="11" t="s">
        <v>120</v>
      </c>
      <c r="H30" s="10" t="s">
        <v>58</v>
      </c>
      <c r="I30" s="10" t="s">
        <v>58</v>
      </c>
      <c r="J30" s="15" t="n">
        <v>1</v>
      </c>
      <c r="K30" s="13"/>
      <c r="L30" s="13"/>
      <c r="M30" s="13" t="s">
        <v>43</v>
      </c>
      <c r="N30" s="11" t="s">
        <v>121</v>
      </c>
    </row>
    <row r="31" customFormat="false" ht="15" hidden="false" customHeight="false" outlineLevel="0" collapsed="false">
      <c r="A31" s="10" t="n">
        <v>30</v>
      </c>
      <c r="B31" s="11" t="s">
        <v>37</v>
      </c>
      <c r="C31" s="11" t="s">
        <v>50</v>
      </c>
      <c r="D31" s="11" t="s">
        <v>122</v>
      </c>
      <c r="E31" s="11" t="s">
        <v>40</v>
      </c>
      <c r="F31" s="10" t="s">
        <v>52</v>
      </c>
      <c r="G31" s="11" t="s">
        <v>123</v>
      </c>
      <c r="H31" s="10" t="s">
        <v>58</v>
      </c>
      <c r="I31" s="10" t="s">
        <v>58</v>
      </c>
      <c r="J31" s="14" t="n">
        <v>2</v>
      </c>
      <c r="K31" s="13"/>
      <c r="L31" s="13"/>
      <c r="M31" s="13" t="s">
        <v>43</v>
      </c>
      <c r="N31" s="11"/>
    </row>
    <row r="32" customFormat="false" ht="15" hidden="false" customHeight="false" outlineLevel="0" collapsed="false">
      <c r="A32" s="10" t="n">
        <v>31</v>
      </c>
      <c r="B32" s="11" t="s">
        <v>37</v>
      </c>
      <c r="C32" s="11" t="s">
        <v>124</v>
      </c>
      <c r="D32" s="11" t="s">
        <v>125</v>
      </c>
      <c r="E32" s="11" t="s">
        <v>101</v>
      </c>
      <c r="F32" s="10" t="s">
        <v>102</v>
      </c>
      <c r="G32" s="11" t="s">
        <v>126</v>
      </c>
      <c r="H32" s="10" t="s">
        <v>42</v>
      </c>
      <c r="I32" s="10" t="s">
        <v>27</v>
      </c>
      <c r="J32" s="15" t="n">
        <v>1</v>
      </c>
      <c r="K32" s="13"/>
      <c r="L32" s="13"/>
      <c r="M32" s="13" t="s">
        <v>43</v>
      </c>
      <c r="N32" s="11" t="s">
        <v>127</v>
      </c>
    </row>
    <row r="33" customFormat="false" ht="15" hidden="false" customHeight="false" outlineLevel="0" collapsed="false">
      <c r="A33" s="10" t="n">
        <v>32</v>
      </c>
      <c r="B33" s="11" t="s">
        <v>37</v>
      </c>
      <c r="C33" s="11" t="s">
        <v>124</v>
      </c>
      <c r="D33" s="11" t="s">
        <v>128</v>
      </c>
      <c r="E33" s="11" t="s">
        <v>101</v>
      </c>
      <c r="F33" s="10" t="s">
        <v>102</v>
      </c>
      <c r="G33" s="11" t="s">
        <v>129</v>
      </c>
      <c r="H33" s="10" t="s">
        <v>27</v>
      </c>
      <c r="I33" s="10" t="s">
        <v>58</v>
      </c>
      <c r="J33" s="15" t="n">
        <v>1</v>
      </c>
      <c r="K33" s="13"/>
      <c r="L33" s="13"/>
      <c r="M33" s="13" t="s">
        <v>43</v>
      </c>
      <c r="N33" s="11"/>
    </row>
    <row r="34" customFormat="false" ht="15" hidden="false" customHeight="false" outlineLevel="0" collapsed="false">
      <c r="A34" s="10" t="n">
        <v>33</v>
      </c>
      <c r="B34" s="11" t="s">
        <v>37</v>
      </c>
      <c r="C34" s="11" t="s">
        <v>124</v>
      </c>
      <c r="D34" s="11" t="s">
        <v>130</v>
      </c>
      <c r="E34" s="11" t="s">
        <v>101</v>
      </c>
      <c r="F34" s="10" t="s">
        <v>102</v>
      </c>
      <c r="G34" s="11" t="s">
        <v>131</v>
      </c>
      <c r="H34" s="10" t="s">
        <v>27</v>
      </c>
      <c r="I34" s="10" t="s">
        <v>58</v>
      </c>
      <c r="J34" s="15" t="n">
        <v>1</v>
      </c>
      <c r="K34" s="13"/>
      <c r="L34" s="13"/>
      <c r="M34" s="13" t="s">
        <v>43</v>
      </c>
      <c r="N34" s="11"/>
    </row>
    <row r="35" customFormat="false" ht="15" hidden="false" customHeight="false" outlineLevel="0" collapsed="false">
      <c r="A35" s="10" t="n">
        <v>34</v>
      </c>
      <c r="B35" s="11" t="s">
        <v>37</v>
      </c>
      <c r="C35" s="11" t="s">
        <v>124</v>
      </c>
      <c r="D35" s="11" t="s">
        <v>132</v>
      </c>
      <c r="E35" s="11" t="s">
        <v>101</v>
      </c>
      <c r="F35" s="10" t="s">
        <v>102</v>
      </c>
      <c r="G35" s="11" t="s">
        <v>133</v>
      </c>
      <c r="H35" s="10" t="s">
        <v>58</v>
      </c>
      <c r="I35" s="10" t="s">
        <v>58</v>
      </c>
      <c r="J35" s="15" t="n">
        <v>1</v>
      </c>
      <c r="K35" s="13"/>
      <c r="L35" s="13"/>
      <c r="M35" s="13" t="s">
        <v>43</v>
      </c>
      <c r="N35" s="11" t="s">
        <v>134</v>
      </c>
    </row>
    <row r="36" customFormat="false" ht="15" hidden="false" customHeight="false" outlineLevel="0" collapsed="false">
      <c r="A36" s="10" t="n">
        <v>35</v>
      </c>
      <c r="B36" s="11" t="s">
        <v>37</v>
      </c>
      <c r="C36" s="11" t="s">
        <v>124</v>
      </c>
      <c r="D36" s="11" t="s">
        <v>135</v>
      </c>
      <c r="E36" s="11" t="s">
        <v>101</v>
      </c>
      <c r="F36" s="10" t="s">
        <v>102</v>
      </c>
      <c r="G36" s="11" t="s">
        <v>136</v>
      </c>
      <c r="H36" s="10" t="s">
        <v>58</v>
      </c>
      <c r="I36" s="10" t="s">
        <v>58</v>
      </c>
      <c r="J36" s="15" t="n">
        <v>1</v>
      </c>
      <c r="K36" s="13"/>
      <c r="L36" s="13"/>
      <c r="M36" s="13" t="s">
        <v>43</v>
      </c>
      <c r="N36" s="11"/>
    </row>
    <row r="37" customFormat="false" ht="15" hidden="false" customHeight="false" outlineLevel="0" collapsed="false">
      <c r="A37" s="10" t="n">
        <v>36</v>
      </c>
      <c r="B37" s="11" t="s">
        <v>37</v>
      </c>
      <c r="C37" s="11" t="s">
        <v>124</v>
      </c>
      <c r="D37" s="11" t="s">
        <v>137</v>
      </c>
      <c r="E37" s="11" t="s">
        <v>101</v>
      </c>
      <c r="F37" s="10" t="s">
        <v>102</v>
      </c>
      <c r="G37" s="11" t="s">
        <v>138</v>
      </c>
      <c r="H37" s="10" t="s">
        <v>27</v>
      </c>
      <c r="I37" s="10" t="s">
        <v>58</v>
      </c>
      <c r="J37" s="15" t="n">
        <v>1</v>
      </c>
      <c r="K37" s="13"/>
      <c r="L37" s="13"/>
      <c r="M37" s="13" t="s">
        <v>43</v>
      </c>
      <c r="N37" s="11"/>
    </row>
    <row r="38" customFormat="false" ht="15" hidden="false" customHeight="false" outlineLevel="0" collapsed="false">
      <c r="A38" s="10" t="n">
        <v>37</v>
      </c>
      <c r="B38" s="11" t="s">
        <v>37</v>
      </c>
      <c r="C38" s="11" t="s">
        <v>124</v>
      </c>
      <c r="D38" s="11" t="s">
        <v>139</v>
      </c>
      <c r="E38" s="11" t="s">
        <v>101</v>
      </c>
      <c r="F38" s="10" t="s">
        <v>102</v>
      </c>
      <c r="G38" s="11" t="s">
        <v>140</v>
      </c>
      <c r="H38" s="10" t="s">
        <v>58</v>
      </c>
      <c r="I38" s="10" t="s">
        <v>58</v>
      </c>
      <c r="J38" s="14" t="n">
        <v>2</v>
      </c>
      <c r="K38" s="13"/>
      <c r="L38" s="13"/>
      <c r="M38" s="13" t="s">
        <v>43</v>
      </c>
      <c r="N38" s="11"/>
    </row>
    <row r="39" customFormat="false" ht="23.85" hidden="false" customHeight="false" outlineLevel="0" collapsed="false">
      <c r="A39" s="10" t="n">
        <v>38</v>
      </c>
      <c r="B39" s="11" t="s">
        <v>37</v>
      </c>
      <c r="C39" s="11" t="s">
        <v>124</v>
      </c>
      <c r="D39" s="11" t="s">
        <v>141</v>
      </c>
      <c r="E39" s="11" t="s">
        <v>101</v>
      </c>
      <c r="F39" s="10" t="s">
        <v>102</v>
      </c>
      <c r="G39" s="11" t="s">
        <v>142</v>
      </c>
      <c r="H39" s="10" t="s">
        <v>27</v>
      </c>
      <c r="I39" s="10" t="s">
        <v>27</v>
      </c>
      <c r="J39" s="14" t="n">
        <v>2</v>
      </c>
      <c r="K39" s="13"/>
      <c r="L39" s="13"/>
      <c r="M39" s="13" t="s">
        <v>43</v>
      </c>
      <c r="N39" s="11" t="s">
        <v>143</v>
      </c>
    </row>
    <row r="40" customFormat="false" ht="15" hidden="false" customHeight="false" outlineLevel="0" collapsed="false">
      <c r="A40" s="10" t="n">
        <v>39</v>
      </c>
      <c r="B40" s="11" t="s">
        <v>37</v>
      </c>
      <c r="C40" s="11" t="s">
        <v>124</v>
      </c>
      <c r="D40" s="11" t="s">
        <v>144</v>
      </c>
      <c r="E40" s="11" t="s">
        <v>101</v>
      </c>
      <c r="F40" s="10" t="s">
        <v>102</v>
      </c>
      <c r="G40" s="11" t="s">
        <v>145</v>
      </c>
      <c r="H40" s="10" t="s">
        <v>58</v>
      </c>
      <c r="I40" s="10" t="s">
        <v>58</v>
      </c>
      <c r="J40" s="14" t="n">
        <v>2</v>
      </c>
      <c r="K40" s="13"/>
      <c r="L40" s="13"/>
      <c r="M40" s="13" t="s">
        <v>43</v>
      </c>
      <c r="N40" s="11"/>
    </row>
    <row r="41" customFormat="false" ht="15" hidden="false" customHeight="false" outlineLevel="0" collapsed="false">
      <c r="A41" s="10" t="n">
        <v>40</v>
      </c>
      <c r="B41" s="11" t="s">
        <v>146</v>
      </c>
      <c r="C41" s="11" t="s">
        <v>38</v>
      </c>
      <c r="D41" s="11" t="s">
        <v>147</v>
      </c>
      <c r="E41" s="11" t="s">
        <v>40</v>
      </c>
      <c r="F41" s="10" t="s">
        <v>38</v>
      </c>
      <c r="G41" s="11" t="s">
        <v>148</v>
      </c>
      <c r="H41" s="10" t="s">
        <v>42</v>
      </c>
      <c r="I41" s="10" t="s">
        <v>42</v>
      </c>
      <c r="J41" s="12" t="n">
        <v>3</v>
      </c>
      <c r="K41" s="13"/>
      <c r="L41" s="13"/>
      <c r="M41" s="13" t="s">
        <v>43</v>
      </c>
      <c r="N41" s="11" t="s">
        <v>149</v>
      </c>
    </row>
    <row r="42" customFormat="false" ht="15" hidden="false" customHeight="false" outlineLevel="0" collapsed="false">
      <c r="A42" s="10" t="n">
        <v>41</v>
      </c>
      <c r="B42" s="11" t="s">
        <v>146</v>
      </c>
      <c r="C42" s="11" t="s">
        <v>38</v>
      </c>
      <c r="D42" s="11" t="s">
        <v>150</v>
      </c>
      <c r="E42" s="11" t="s">
        <v>40</v>
      </c>
      <c r="F42" s="10" t="s">
        <v>38</v>
      </c>
      <c r="G42" s="11" t="s">
        <v>151</v>
      </c>
      <c r="H42" s="10" t="s">
        <v>42</v>
      </c>
      <c r="I42" s="10" t="s">
        <v>42</v>
      </c>
      <c r="J42" s="12" t="n">
        <v>3</v>
      </c>
      <c r="K42" s="13"/>
      <c r="L42" s="13"/>
      <c r="M42" s="13" t="s">
        <v>43</v>
      </c>
      <c r="N42" s="11"/>
    </row>
    <row r="43" customFormat="false" ht="15" hidden="false" customHeight="false" outlineLevel="0" collapsed="false">
      <c r="A43" s="10" t="n">
        <v>42</v>
      </c>
      <c r="B43" s="11" t="s">
        <v>146</v>
      </c>
      <c r="C43" s="11" t="s">
        <v>38</v>
      </c>
      <c r="D43" s="11" t="s">
        <v>152</v>
      </c>
      <c r="E43" s="11" t="s">
        <v>40</v>
      </c>
      <c r="F43" s="10" t="s">
        <v>38</v>
      </c>
      <c r="G43" s="11" t="s">
        <v>153</v>
      </c>
      <c r="H43" s="10" t="s">
        <v>27</v>
      </c>
      <c r="I43" s="10" t="s">
        <v>42</v>
      </c>
      <c r="J43" s="12" t="n">
        <v>3</v>
      </c>
      <c r="K43" s="13"/>
      <c r="L43" s="13"/>
      <c r="M43" s="13" t="s">
        <v>43</v>
      </c>
      <c r="N43" s="11"/>
    </row>
    <row r="44" customFormat="false" ht="15" hidden="false" customHeight="false" outlineLevel="0" collapsed="false">
      <c r="A44" s="10" t="n">
        <v>43</v>
      </c>
      <c r="B44" s="11" t="s">
        <v>146</v>
      </c>
      <c r="C44" s="11" t="s">
        <v>55</v>
      </c>
      <c r="D44" s="11" t="s">
        <v>154</v>
      </c>
      <c r="E44" s="11" t="s">
        <v>40</v>
      </c>
      <c r="F44" s="10" t="s">
        <v>56</v>
      </c>
      <c r="G44" s="11" t="s">
        <v>155</v>
      </c>
      <c r="H44" s="10" t="s">
        <v>27</v>
      </c>
      <c r="I44" s="10" t="s">
        <v>58</v>
      </c>
      <c r="J44" s="15" t="n">
        <v>1</v>
      </c>
      <c r="K44" s="13"/>
      <c r="L44" s="13"/>
      <c r="M44" s="13" t="s">
        <v>43</v>
      </c>
      <c r="N44" s="11" t="s">
        <v>156</v>
      </c>
    </row>
    <row r="45" customFormat="false" ht="15" hidden="false" customHeight="false" outlineLevel="0" collapsed="false">
      <c r="A45" s="10" t="n">
        <v>44</v>
      </c>
      <c r="B45" s="11" t="s">
        <v>146</v>
      </c>
      <c r="C45" s="11" t="s">
        <v>55</v>
      </c>
      <c r="D45" s="11" t="s">
        <v>157</v>
      </c>
      <c r="E45" s="11" t="s">
        <v>40</v>
      </c>
      <c r="F45" s="10" t="s">
        <v>56</v>
      </c>
      <c r="G45" s="11" t="s">
        <v>158</v>
      </c>
      <c r="H45" s="10" t="s">
        <v>27</v>
      </c>
      <c r="I45" s="10" t="s">
        <v>58</v>
      </c>
      <c r="J45" s="15" t="n">
        <v>1</v>
      </c>
      <c r="K45" s="13"/>
      <c r="L45" s="13"/>
      <c r="M45" s="13" t="s">
        <v>43</v>
      </c>
      <c r="N45" s="11" t="s">
        <v>159</v>
      </c>
    </row>
    <row r="46" customFormat="false" ht="15" hidden="false" customHeight="false" outlineLevel="0" collapsed="false">
      <c r="A46" s="10" t="n">
        <v>45</v>
      </c>
      <c r="B46" s="11" t="s">
        <v>146</v>
      </c>
      <c r="C46" s="11" t="s">
        <v>55</v>
      </c>
      <c r="D46" s="11" t="s">
        <v>160</v>
      </c>
      <c r="E46" s="11" t="s">
        <v>40</v>
      </c>
      <c r="F46" s="10" t="s">
        <v>56</v>
      </c>
      <c r="G46" s="11" t="s">
        <v>161</v>
      </c>
      <c r="H46" s="10" t="s">
        <v>27</v>
      </c>
      <c r="I46" s="10" t="s">
        <v>58</v>
      </c>
      <c r="J46" s="15" t="n">
        <v>1</v>
      </c>
      <c r="K46" s="13"/>
      <c r="L46" s="13"/>
      <c r="M46" s="13" t="s">
        <v>43</v>
      </c>
      <c r="N46" s="11" t="s">
        <v>162</v>
      </c>
    </row>
    <row r="47" customFormat="false" ht="15" hidden="false" customHeight="false" outlineLevel="0" collapsed="false">
      <c r="A47" s="10" t="n">
        <v>46</v>
      </c>
      <c r="B47" s="11" t="s">
        <v>146</v>
      </c>
      <c r="C47" s="11" t="s">
        <v>55</v>
      </c>
      <c r="D47" s="11" t="s">
        <v>163</v>
      </c>
      <c r="E47" s="11" t="s">
        <v>40</v>
      </c>
      <c r="F47" s="10" t="s">
        <v>56</v>
      </c>
      <c r="G47" s="11" t="s">
        <v>164</v>
      </c>
      <c r="H47" s="10" t="s">
        <v>58</v>
      </c>
      <c r="I47" s="10" t="s">
        <v>58</v>
      </c>
      <c r="J47" s="15" t="n">
        <v>1</v>
      </c>
      <c r="K47" s="13"/>
      <c r="L47" s="13"/>
      <c r="M47" s="13" t="s">
        <v>43</v>
      </c>
      <c r="N47" s="11" t="s">
        <v>165</v>
      </c>
    </row>
    <row r="48" customFormat="false" ht="15" hidden="false" customHeight="false" outlineLevel="0" collapsed="false">
      <c r="A48" s="10" t="n">
        <v>47</v>
      </c>
      <c r="B48" s="11" t="s">
        <v>146</v>
      </c>
      <c r="C48" s="11" t="s">
        <v>55</v>
      </c>
      <c r="D48" s="11" t="s">
        <v>166</v>
      </c>
      <c r="E48" s="11" t="s">
        <v>40</v>
      </c>
      <c r="F48" s="10" t="s">
        <v>56</v>
      </c>
      <c r="G48" s="11" t="s">
        <v>167</v>
      </c>
      <c r="H48" s="10" t="s">
        <v>58</v>
      </c>
      <c r="I48" s="10" t="s">
        <v>58</v>
      </c>
      <c r="J48" s="15" t="n">
        <v>1</v>
      </c>
      <c r="K48" s="13"/>
      <c r="L48" s="13"/>
      <c r="M48" s="13" t="s">
        <v>43</v>
      </c>
      <c r="N48" s="11" t="s">
        <v>168</v>
      </c>
    </row>
    <row r="49" customFormat="false" ht="15" hidden="false" customHeight="false" outlineLevel="0" collapsed="false">
      <c r="A49" s="10" t="n">
        <v>48</v>
      </c>
      <c r="B49" s="11" t="s">
        <v>146</v>
      </c>
      <c r="C49" s="11" t="s">
        <v>55</v>
      </c>
      <c r="D49" s="11" t="s">
        <v>169</v>
      </c>
      <c r="E49" s="11" t="s">
        <v>40</v>
      </c>
      <c r="F49" s="10" t="s">
        <v>56</v>
      </c>
      <c r="G49" s="11" t="s">
        <v>170</v>
      </c>
      <c r="H49" s="10" t="s">
        <v>58</v>
      </c>
      <c r="I49" s="10" t="s">
        <v>58</v>
      </c>
      <c r="J49" s="15" t="n">
        <v>1</v>
      </c>
      <c r="K49" s="13"/>
      <c r="L49" s="13"/>
      <c r="M49" s="13" t="s">
        <v>43</v>
      </c>
      <c r="N49" s="11"/>
    </row>
    <row r="50" customFormat="false" ht="15" hidden="false" customHeight="false" outlineLevel="0" collapsed="false">
      <c r="A50" s="10" t="n">
        <v>49</v>
      </c>
      <c r="B50" s="11" t="s">
        <v>146</v>
      </c>
      <c r="C50" s="11" t="s">
        <v>55</v>
      </c>
      <c r="D50" s="11" t="s">
        <v>171</v>
      </c>
      <c r="E50" s="11" t="s">
        <v>40</v>
      </c>
      <c r="F50" s="10" t="s">
        <v>56</v>
      </c>
      <c r="G50" s="11" t="s">
        <v>172</v>
      </c>
      <c r="H50" s="10" t="s">
        <v>58</v>
      </c>
      <c r="I50" s="10" t="s">
        <v>58</v>
      </c>
      <c r="J50" s="15" t="n">
        <v>1</v>
      </c>
      <c r="K50" s="13"/>
      <c r="L50" s="13"/>
      <c r="M50" s="13" t="s">
        <v>43</v>
      </c>
      <c r="N50" s="11" t="s">
        <v>173</v>
      </c>
    </row>
    <row r="51" customFormat="false" ht="15" hidden="false" customHeight="false" outlineLevel="0" collapsed="false">
      <c r="A51" s="10" t="n">
        <v>50</v>
      </c>
      <c r="B51" s="11" t="s">
        <v>146</v>
      </c>
      <c r="C51" s="11" t="s">
        <v>55</v>
      </c>
      <c r="D51" s="11" t="s">
        <v>174</v>
      </c>
      <c r="E51" s="11" t="s">
        <v>40</v>
      </c>
      <c r="F51" s="10" t="s">
        <v>56</v>
      </c>
      <c r="G51" s="11" t="s">
        <v>175</v>
      </c>
      <c r="H51" s="10" t="s">
        <v>58</v>
      </c>
      <c r="I51" s="10" t="s">
        <v>58</v>
      </c>
      <c r="J51" s="15" t="n">
        <v>1</v>
      </c>
      <c r="K51" s="13"/>
      <c r="L51" s="13"/>
      <c r="M51" s="13" t="s">
        <v>43</v>
      </c>
      <c r="N51" s="11"/>
    </row>
    <row r="52" customFormat="false" ht="15" hidden="false" customHeight="false" outlineLevel="0" collapsed="false">
      <c r="A52" s="10" t="n">
        <v>51</v>
      </c>
      <c r="B52" s="11" t="s">
        <v>146</v>
      </c>
      <c r="C52" s="11" t="s">
        <v>55</v>
      </c>
      <c r="D52" s="11" t="s">
        <v>176</v>
      </c>
      <c r="E52" s="11" t="s">
        <v>40</v>
      </c>
      <c r="F52" s="10" t="s">
        <v>56</v>
      </c>
      <c r="G52" s="11" t="s">
        <v>177</v>
      </c>
      <c r="H52" s="10" t="s">
        <v>58</v>
      </c>
      <c r="I52" s="10" t="s">
        <v>58</v>
      </c>
      <c r="J52" s="15" t="n">
        <v>1</v>
      </c>
      <c r="K52" s="13"/>
      <c r="L52" s="13"/>
      <c r="M52" s="13" t="s">
        <v>43</v>
      </c>
      <c r="N52" s="11" t="s">
        <v>178</v>
      </c>
    </row>
    <row r="53" customFormat="false" ht="15" hidden="false" customHeight="false" outlineLevel="0" collapsed="false">
      <c r="A53" s="10" t="n">
        <v>52</v>
      </c>
      <c r="B53" s="11" t="s">
        <v>146</v>
      </c>
      <c r="C53" s="11" t="s">
        <v>90</v>
      </c>
      <c r="D53" s="11" t="s">
        <v>179</v>
      </c>
      <c r="E53" s="11" t="s">
        <v>90</v>
      </c>
      <c r="F53" s="10" t="s">
        <v>102</v>
      </c>
      <c r="G53" s="11" t="s">
        <v>180</v>
      </c>
      <c r="H53" s="10" t="s">
        <v>27</v>
      </c>
      <c r="I53" s="10" t="s">
        <v>58</v>
      </c>
      <c r="J53" s="15" t="n">
        <v>1</v>
      </c>
      <c r="K53" s="13"/>
      <c r="L53" s="13"/>
      <c r="M53" s="13" t="s">
        <v>43</v>
      </c>
      <c r="N53" s="11" t="s">
        <v>181</v>
      </c>
    </row>
    <row r="54" customFormat="false" ht="15" hidden="false" customHeight="false" outlineLevel="0" collapsed="false">
      <c r="A54" s="10" t="n">
        <v>53</v>
      </c>
      <c r="B54" s="11" t="s">
        <v>146</v>
      </c>
      <c r="C54" s="11" t="s">
        <v>90</v>
      </c>
      <c r="D54" s="11" t="s">
        <v>182</v>
      </c>
      <c r="E54" s="11" t="s">
        <v>90</v>
      </c>
      <c r="F54" s="10" t="s">
        <v>92</v>
      </c>
      <c r="G54" s="11" t="s">
        <v>183</v>
      </c>
      <c r="H54" s="10" t="s">
        <v>58</v>
      </c>
      <c r="I54" s="10" t="s">
        <v>58</v>
      </c>
      <c r="J54" s="15" t="n">
        <v>1</v>
      </c>
      <c r="K54" s="13"/>
      <c r="L54" s="13"/>
      <c r="M54" s="13" t="s">
        <v>43</v>
      </c>
      <c r="N54" s="11" t="s">
        <v>184</v>
      </c>
    </row>
    <row r="55" customFormat="false" ht="15" hidden="false" customHeight="false" outlineLevel="0" collapsed="false">
      <c r="A55" s="10" t="n">
        <v>54</v>
      </c>
      <c r="B55" s="11" t="s">
        <v>146</v>
      </c>
      <c r="C55" s="11" t="s">
        <v>90</v>
      </c>
      <c r="D55" s="11" t="s">
        <v>185</v>
      </c>
      <c r="E55" s="11" t="s">
        <v>90</v>
      </c>
      <c r="F55" s="10" t="s">
        <v>92</v>
      </c>
      <c r="G55" s="11" t="s">
        <v>186</v>
      </c>
      <c r="H55" s="10" t="s">
        <v>58</v>
      </c>
      <c r="I55" s="10" t="s">
        <v>58</v>
      </c>
      <c r="J55" s="15" t="n">
        <v>1</v>
      </c>
      <c r="K55" s="13"/>
      <c r="L55" s="13"/>
      <c r="M55" s="13" t="s">
        <v>43</v>
      </c>
      <c r="N55" s="11"/>
    </row>
    <row r="56" customFormat="false" ht="15" hidden="false" customHeight="false" outlineLevel="0" collapsed="false">
      <c r="A56" s="10" t="n">
        <v>55</v>
      </c>
      <c r="B56" s="11" t="s">
        <v>146</v>
      </c>
      <c r="C56" s="11" t="s">
        <v>90</v>
      </c>
      <c r="D56" s="11" t="s">
        <v>187</v>
      </c>
      <c r="E56" s="11" t="s">
        <v>90</v>
      </c>
      <c r="F56" s="10" t="s">
        <v>92</v>
      </c>
      <c r="G56" s="11" t="s">
        <v>188</v>
      </c>
      <c r="H56" s="10" t="s">
        <v>58</v>
      </c>
      <c r="I56" s="10" t="s">
        <v>58</v>
      </c>
      <c r="J56" s="15" t="n">
        <v>1</v>
      </c>
      <c r="K56" s="13"/>
      <c r="L56" s="13"/>
      <c r="M56" s="13" t="s">
        <v>43</v>
      </c>
      <c r="N56" s="11"/>
    </row>
    <row r="57" customFormat="false" ht="15" hidden="false" customHeight="false" outlineLevel="0" collapsed="false">
      <c r="A57" s="10" t="n">
        <v>56</v>
      </c>
      <c r="B57" s="11" t="s">
        <v>146</v>
      </c>
      <c r="C57" s="11" t="s">
        <v>50</v>
      </c>
      <c r="D57" s="11" t="s">
        <v>189</v>
      </c>
      <c r="E57" s="11" t="s">
        <v>40</v>
      </c>
      <c r="F57" s="10" t="s">
        <v>52</v>
      </c>
      <c r="G57" s="11" t="s">
        <v>190</v>
      </c>
      <c r="H57" s="10" t="s">
        <v>27</v>
      </c>
      <c r="I57" s="10" t="s">
        <v>27</v>
      </c>
      <c r="J57" s="14" t="n">
        <v>2</v>
      </c>
      <c r="K57" s="13"/>
      <c r="L57" s="13"/>
      <c r="M57" s="13" t="s">
        <v>43</v>
      </c>
      <c r="N57" s="11" t="s">
        <v>191</v>
      </c>
    </row>
    <row r="58" customFormat="false" ht="15" hidden="false" customHeight="false" outlineLevel="0" collapsed="false">
      <c r="A58" s="10" t="n">
        <v>57</v>
      </c>
      <c r="B58" s="11" t="s">
        <v>146</v>
      </c>
      <c r="C58" s="11" t="s">
        <v>50</v>
      </c>
      <c r="D58" s="11" t="s">
        <v>192</v>
      </c>
      <c r="E58" s="11" t="s">
        <v>40</v>
      </c>
      <c r="F58" s="10" t="s">
        <v>52</v>
      </c>
      <c r="G58" s="11" t="s">
        <v>193</v>
      </c>
      <c r="H58" s="10" t="s">
        <v>27</v>
      </c>
      <c r="I58" s="10" t="s">
        <v>27</v>
      </c>
      <c r="J58" s="14" t="n">
        <v>2</v>
      </c>
      <c r="K58" s="13"/>
      <c r="L58" s="13"/>
      <c r="M58" s="13" t="s">
        <v>43</v>
      </c>
      <c r="N58" s="11"/>
    </row>
    <row r="59" customFormat="false" ht="15" hidden="false" customHeight="false" outlineLevel="0" collapsed="false">
      <c r="A59" s="10" t="n">
        <v>58</v>
      </c>
      <c r="B59" s="11" t="s">
        <v>146</v>
      </c>
      <c r="C59" s="11" t="s">
        <v>50</v>
      </c>
      <c r="D59" s="11" t="s">
        <v>194</v>
      </c>
      <c r="E59" s="11" t="s">
        <v>40</v>
      </c>
      <c r="F59" s="10" t="s">
        <v>52</v>
      </c>
      <c r="G59" s="11" t="s">
        <v>195</v>
      </c>
      <c r="H59" s="10" t="s">
        <v>58</v>
      </c>
      <c r="I59" s="10" t="s">
        <v>58</v>
      </c>
      <c r="J59" s="15" t="n">
        <v>1</v>
      </c>
      <c r="K59" s="13"/>
      <c r="L59" s="13"/>
      <c r="M59" s="13" t="s">
        <v>43</v>
      </c>
      <c r="N59" s="11"/>
    </row>
    <row r="60" customFormat="false" ht="15" hidden="false" customHeight="false" outlineLevel="0" collapsed="false">
      <c r="A60" s="10" t="n">
        <v>59</v>
      </c>
      <c r="B60" s="11" t="s">
        <v>146</v>
      </c>
      <c r="C60" s="11" t="s">
        <v>50</v>
      </c>
      <c r="D60" s="11" t="s">
        <v>196</v>
      </c>
      <c r="E60" s="11" t="s">
        <v>40</v>
      </c>
      <c r="F60" s="10" t="s">
        <v>52</v>
      </c>
      <c r="G60" s="11" t="s">
        <v>197</v>
      </c>
      <c r="H60" s="10" t="s">
        <v>58</v>
      </c>
      <c r="I60" s="10" t="s">
        <v>58</v>
      </c>
      <c r="J60" s="15" t="n">
        <v>1</v>
      </c>
      <c r="K60" s="13"/>
      <c r="L60" s="13"/>
      <c r="M60" s="13" t="s">
        <v>43</v>
      </c>
      <c r="N60" s="11"/>
    </row>
    <row r="61" customFormat="false" ht="15" hidden="false" customHeight="false" outlineLevel="0" collapsed="false">
      <c r="A61" s="10" t="n">
        <v>60</v>
      </c>
      <c r="B61" s="11" t="s">
        <v>146</v>
      </c>
      <c r="C61" s="11" t="s">
        <v>198</v>
      </c>
      <c r="D61" s="11" t="s">
        <v>199</v>
      </c>
      <c r="E61" s="11" t="s">
        <v>101</v>
      </c>
      <c r="F61" s="10" t="s">
        <v>102</v>
      </c>
      <c r="G61" s="11" t="s">
        <v>200</v>
      </c>
      <c r="H61" s="10" t="s">
        <v>27</v>
      </c>
      <c r="I61" s="10" t="s">
        <v>58</v>
      </c>
      <c r="J61" s="15" t="n">
        <v>1</v>
      </c>
      <c r="K61" s="13"/>
      <c r="L61" s="13"/>
      <c r="M61" s="13" t="s">
        <v>43</v>
      </c>
      <c r="N61" s="11" t="s">
        <v>201</v>
      </c>
    </row>
    <row r="62" customFormat="false" ht="15" hidden="false" customHeight="false" outlineLevel="0" collapsed="false">
      <c r="A62" s="10" t="n">
        <v>61</v>
      </c>
      <c r="B62" s="11" t="s">
        <v>146</v>
      </c>
      <c r="C62" s="11" t="s">
        <v>198</v>
      </c>
      <c r="D62" s="11" t="s">
        <v>202</v>
      </c>
      <c r="E62" s="11" t="s">
        <v>101</v>
      </c>
      <c r="F62" s="10" t="s">
        <v>102</v>
      </c>
      <c r="G62" s="11" t="s">
        <v>203</v>
      </c>
      <c r="H62" s="10" t="s">
        <v>58</v>
      </c>
      <c r="I62" s="10" t="s">
        <v>58</v>
      </c>
      <c r="J62" s="15" t="n">
        <v>1</v>
      </c>
      <c r="K62" s="13"/>
      <c r="L62" s="13"/>
      <c r="M62" s="13" t="s">
        <v>43</v>
      </c>
      <c r="N62" s="11"/>
    </row>
    <row r="63" customFormat="false" ht="15" hidden="false" customHeight="false" outlineLevel="0" collapsed="false">
      <c r="A63" s="10" t="n">
        <v>62</v>
      </c>
      <c r="B63" s="11" t="s">
        <v>146</v>
      </c>
      <c r="C63" s="11" t="s">
        <v>198</v>
      </c>
      <c r="D63" s="11" t="s">
        <v>204</v>
      </c>
      <c r="E63" s="11" t="s">
        <v>101</v>
      </c>
      <c r="F63" s="10" t="s">
        <v>102</v>
      </c>
      <c r="G63" s="11" t="s">
        <v>205</v>
      </c>
      <c r="H63" s="10" t="s">
        <v>58</v>
      </c>
      <c r="I63" s="10" t="s">
        <v>58</v>
      </c>
      <c r="J63" s="15" t="n">
        <v>1</v>
      </c>
      <c r="K63" s="13"/>
      <c r="L63" s="13"/>
      <c r="M63" s="13" t="s">
        <v>43</v>
      </c>
      <c r="N63" s="11"/>
    </row>
    <row r="64" customFormat="false" ht="15" hidden="false" customHeight="false" outlineLevel="0" collapsed="false">
      <c r="A64" s="10" t="n">
        <v>63</v>
      </c>
      <c r="B64" s="11" t="s">
        <v>146</v>
      </c>
      <c r="C64" s="11" t="s">
        <v>198</v>
      </c>
      <c r="D64" s="11" t="s">
        <v>206</v>
      </c>
      <c r="E64" s="11" t="s">
        <v>101</v>
      </c>
      <c r="F64" s="10" t="s">
        <v>102</v>
      </c>
      <c r="G64" s="11" t="s">
        <v>207</v>
      </c>
      <c r="H64" s="10" t="s">
        <v>58</v>
      </c>
      <c r="I64" s="10" t="s">
        <v>58</v>
      </c>
      <c r="J64" s="15" t="n">
        <v>1</v>
      </c>
      <c r="K64" s="13"/>
      <c r="L64" s="13"/>
      <c r="M64" s="13" t="s">
        <v>43</v>
      </c>
      <c r="N64" s="11"/>
    </row>
    <row r="65" customFormat="false" ht="15" hidden="false" customHeight="false" outlineLevel="0" collapsed="false">
      <c r="A65" s="10" t="n">
        <v>64</v>
      </c>
      <c r="B65" s="11" t="s">
        <v>146</v>
      </c>
      <c r="C65" s="11" t="s">
        <v>198</v>
      </c>
      <c r="D65" s="11" t="s">
        <v>208</v>
      </c>
      <c r="E65" s="11" t="s">
        <v>101</v>
      </c>
      <c r="F65" s="10" t="s">
        <v>102</v>
      </c>
      <c r="G65" s="11" t="s">
        <v>209</v>
      </c>
      <c r="H65" s="10" t="s">
        <v>58</v>
      </c>
      <c r="I65" s="10" t="s">
        <v>58</v>
      </c>
      <c r="J65" s="14" t="n">
        <v>2</v>
      </c>
      <c r="K65" s="13"/>
      <c r="L65" s="13"/>
      <c r="M65" s="13" t="s">
        <v>43</v>
      </c>
      <c r="N65" s="11"/>
    </row>
    <row r="66" customFormat="false" ht="15" hidden="false" customHeight="false" outlineLevel="0" collapsed="false">
      <c r="A66" s="10" t="n">
        <v>65</v>
      </c>
      <c r="B66" s="11" t="s">
        <v>146</v>
      </c>
      <c r="C66" s="11" t="s">
        <v>198</v>
      </c>
      <c r="D66" s="11" t="s">
        <v>210</v>
      </c>
      <c r="E66" s="11" t="s">
        <v>101</v>
      </c>
      <c r="F66" s="10" t="s">
        <v>102</v>
      </c>
      <c r="G66" s="11" t="s">
        <v>211</v>
      </c>
      <c r="H66" s="10" t="s">
        <v>58</v>
      </c>
      <c r="I66" s="10" t="s">
        <v>58</v>
      </c>
      <c r="J66" s="14" t="n">
        <v>2</v>
      </c>
      <c r="K66" s="13"/>
      <c r="L66" s="13"/>
      <c r="M66" s="13" t="s">
        <v>43</v>
      </c>
      <c r="N66" s="11" t="s">
        <v>212</v>
      </c>
    </row>
    <row r="67" customFormat="false" ht="15" hidden="false" customHeight="false" outlineLevel="0" collapsed="false">
      <c r="A67" s="10" t="n">
        <v>66</v>
      </c>
      <c r="B67" s="11" t="s">
        <v>213</v>
      </c>
      <c r="C67" s="11" t="s">
        <v>38</v>
      </c>
      <c r="D67" s="11" t="s">
        <v>214</v>
      </c>
      <c r="E67" s="11" t="s">
        <v>101</v>
      </c>
      <c r="F67" s="10" t="s">
        <v>38</v>
      </c>
      <c r="G67" s="11" t="s">
        <v>215</v>
      </c>
      <c r="H67" s="10" t="s">
        <v>42</v>
      </c>
      <c r="I67" s="10" t="s">
        <v>27</v>
      </c>
      <c r="J67" s="14" t="n">
        <v>2</v>
      </c>
      <c r="K67" s="13"/>
      <c r="L67" s="13"/>
      <c r="M67" s="13" t="s">
        <v>43</v>
      </c>
      <c r="N67" s="11" t="s">
        <v>216</v>
      </c>
    </row>
    <row r="68" customFormat="false" ht="15" hidden="false" customHeight="false" outlineLevel="0" collapsed="false">
      <c r="A68" s="10" t="n">
        <v>67</v>
      </c>
      <c r="B68" s="11" t="s">
        <v>213</v>
      </c>
      <c r="C68" s="11" t="s">
        <v>55</v>
      </c>
      <c r="D68" s="11" t="s">
        <v>217</v>
      </c>
      <c r="E68" s="11" t="s">
        <v>40</v>
      </c>
      <c r="F68" s="10" t="s">
        <v>56</v>
      </c>
      <c r="G68" s="11" t="s">
        <v>218</v>
      </c>
      <c r="H68" s="10" t="s">
        <v>27</v>
      </c>
      <c r="I68" s="10" t="s">
        <v>58</v>
      </c>
      <c r="J68" s="15" t="n">
        <v>1</v>
      </c>
      <c r="K68" s="13"/>
      <c r="L68" s="13"/>
      <c r="M68" s="13" t="s">
        <v>43</v>
      </c>
      <c r="N68" s="11" t="s">
        <v>219</v>
      </c>
    </row>
    <row r="69" customFormat="false" ht="15" hidden="false" customHeight="false" outlineLevel="0" collapsed="false">
      <c r="A69" s="10" t="n">
        <v>68</v>
      </c>
      <c r="B69" s="11" t="s">
        <v>213</v>
      </c>
      <c r="C69" s="11" t="s">
        <v>55</v>
      </c>
      <c r="D69" s="11" t="s">
        <v>220</v>
      </c>
      <c r="E69" s="11" t="s">
        <v>40</v>
      </c>
      <c r="F69" s="10" t="s">
        <v>56</v>
      </c>
      <c r="G69" s="11" t="s">
        <v>221</v>
      </c>
      <c r="H69" s="10" t="s">
        <v>58</v>
      </c>
      <c r="I69" s="10" t="s">
        <v>58</v>
      </c>
      <c r="J69" s="15" t="n">
        <v>1</v>
      </c>
      <c r="K69" s="13"/>
      <c r="L69" s="13"/>
      <c r="M69" s="13" t="s">
        <v>43</v>
      </c>
      <c r="N69" s="11" t="s">
        <v>222</v>
      </c>
    </row>
    <row r="70" customFormat="false" ht="15" hidden="false" customHeight="false" outlineLevel="0" collapsed="false">
      <c r="A70" s="10" t="n">
        <v>69</v>
      </c>
      <c r="B70" s="11" t="s">
        <v>213</v>
      </c>
      <c r="C70" s="11" t="s">
        <v>55</v>
      </c>
      <c r="D70" s="11" t="s">
        <v>223</v>
      </c>
      <c r="E70" s="11" t="s">
        <v>40</v>
      </c>
      <c r="F70" s="10" t="s">
        <v>56</v>
      </c>
      <c r="G70" s="11" t="s">
        <v>224</v>
      </c>
      <c r="H70" s="10" t="s">
        <v>58</v>
      </c>
      <c r="I70" s="10" t="s">
        <v>58</v>
      </c>
      <c r="J70" s="15" t="n">
        <v>1</v>
      </c>
      <c r="K70" s="13"/>
      <c r="L70" s="13"/>
      <c r="M70" s="13" t="s">
        <v>43</v>
      </c>
      <c r="N70" s="11"/>
    </row>
    <row r="71" customFormat="false" ht="15" hidden="false" customHeight="false" outlineLevel="0" collapsed="false">
      <c r="A71" s="10" t="n">
        <v>70</v>
      </c>
      <c r="B71" s="11" t="s">
        <v>213</v>
      </c>
      <c r="C71" s="11" t="s">
        <v>55</v>
      </c>
      <c r="D71" s="11" t="s">
        <v>225</v>
      </c>
      <c r="E71" s="11" t="s">
        <v>40</v>
      </c>
      <c r="F71" s="10" t="s">
        <v>38</v>
      </c>
      <c r="G71" s="11" t="s">
        <v>226</v>
      </c>
      <c r="H71" s="10" t="s">
        <v>27</v>
      </c>
      <c r="I71" s="10" t="s">
        <v>27</v>
      </c>
      <c r="J71" s="14" t="n">
        <v>2</v>
      </c>
      <c r="K71" s="13"/>
      <c r="L71" s="13"/>
      <c r="M71" s="13" t="s">
        <v>43</v>
      </c>
      <c r="N71" s="11" t="s">
        <v>227</v>
      </c>
    </row>
    <row r="72" customFormat="false" ht="15" hidden="false" customHeight="false" outlineLevel="0" collapsed="false">
      <c r="A72" s="10" t="n">
        <v>71</v>
      </c>
      <c r="B72" s="11" t="s">
        <v>213</v>
      </c>
      <c r="C72" s="11" t="s">
        <v>124</v>
      </c>
      <c r="D72" s="11" t="s">
        <v>228</v>
      </c>
      <c r="E72" s="11" t="s">
        <v>101</v>
      </c>
      <c r="F72" s="10" t="s">
        <v>102</v>
      </c>
      <c r="G72" s="11" t="s">
        <v>229</v>
      </c>
      <c r="H72" s="10" t="s">
        <v>27</v>
      </c>
      <c r="I72" s="10" t="s">
        <v>58</v>
      </c>
      <c r="J72" s="15" t="n">
        <v>1</v>
      </c>
      <c r="K72" s="13"/>
      <c r="L72" s="13"/>
      <c r="M72" s="13" t="s">
        <v>43</v>
      </c>
      <c r="N72" s="11"/>
    </row>
    <row r="73" customFormat="false" ht="15" hidden="false" customHeight="false" outlineLevel="0" collapsed="false">
      <c r="A73" s="10" t="n">
        <v>72</v>
      </c>
      <c r="B73" s="11" t="s">
        <v>213</v>
      </c>
      <c r="C73" s="11" t="s">
        <v>124</v>
      </c>
      <c r="D73" s="11" t="s">
        <v>230</v>
      </c>
      <c r="E73" s="11" t="s">
        <v>101</v>
      </c>
      <c r="F73" s="10" t="s">
        <v>102</v>
      </c>
      <c r="G73" s="11" t="s">
        <v>231</v>
      </c>
      <c r="H73" s="10" t="s">
        <v>58</v>
      </c>
      <c r="I73" s="10" t="s">
        <v>58</v>
      </c>
      <c r="J73" s="15" t="n">
        <v>1</v>
      </c>
      <c r="K73" s="13"/>
      <c r="L73" s="13"/>
      <c r="M73" s="13" t="s">
        <v>43</v>
      </c>
      <c r="N73" s="11" t="s">
        <v>232</v>
      </c>
    </row>
    <row r="74" customFormat="false" ht="15" hidden="false" customHeight="false" outlineLevel="0" collapsed="false">
      <c r="A74" s="10" t="n">
        <v>73</v>
      </c>
      <c r="B74" s="11" t="s">
        <v>213</v>
      </c>
      <c r="C74" s="11" t="s">
        <v>124</v>
      </c>
      <c r="D74" s="11" t="s">
        <v>233</v>
      </c>
      <c r="E74" s="11" t="s">
        <v>101</v>
      </c>
      <c r="F74" s="10" t="s">
        <v>102</v>
      </c>
      <c r="G74" s="11" t="s">
        <v>234</v>
      </c>
      <c r="H74" s="10" t="s">
        <v>58</v>
      </c>
      <c r="I74" s="10" t="s">
        <v>58</v>
      </c>
      <c r="J74" s="15" t="n">
        <v>1</v>
      </c>
      <c r="K74" s="13"/>
      <c r="L74" s="13"/>
      <c r="M74" s="13" t="s">
        <v>43</v>
      </c>
      <c r="N74" s="11"/>
    </row>
    <row r="75" customFormat="false" ht="15" hidden="false" customHeight="false" outlineLevel="0" collapsed="false">
      <c r="A75" s="10" t="n">
        <v>74</v>
      </c>
      <c r="B75" s="11" t="s">
        <v>213</v>
      </c>
      <c r="C75" s="11" t="s">
        <v>124</v>
      </c>
      <c r="D75" s="11" t="s">
        <v>235</v>
      </c>
      <c r="E75" s="11" t="s">
        <v>101</v>
      </c>
      <c r="F75" s="10" t="s">
        <v>102</v>
      </c>
      <c r="G75" s="11" t="s">
        <v>236</v>
      </c>
      <c r="H75" s="10" t="s">
        <v>58</v>
      </c>
      <c r="I75" s="10" t="s">
        <v>58</v>
      </c>
      <c r="J75" s="14" t="n">
        <v>2</v>
      </c>
      <c r="K75" s="13"/>
      <c r="L75" s="13"/>
      <c r="M75" s="13" t="s">
        <v>43</v>
      </c>
      <c r="N75" s="11"/>
    </row>
    <row r="76" customFormat="false" ht="15" hidden="false" customHeight="false" outlineLevel="0" collapsed="false">
      <c r="A76" s="10" t="n">
        <v>75</v>
      </c>
      <c r="B76" s="11" t="s">
        <v>237</v>
      </c>
      <c r="C76" s="11" t="s">
        <v>38</v>
      </c>
      <c r="D76" s="11" t="s">
        <v>238</v>
      </c>
      <c r="E76" s="11" t="s">
        <v>101</v>
      </c>
      <c r="F76" s="10" t="s">
        <v>38</v>
      </c>
      <c r="G76" s="11" t="s">
        <v>239</v>
      </c>
      <c r="H76" s="10" t="s">
        <v>27</v>
      </c>
      <c r="I76" s="10" t="s">
        <v>58</v>
      </c>
      <c r="J76" s="15" t="n">
        <v>1</v>
      </c>
      <c r="K76" s="13"/>
      <c r="L76" s="13"/>
      <c r="M76" s="13" t="s">
        <v>43</v>
      </c>
      <c r="N76" s="11" t="s">
        <v>240</v>
      </c>
    </row>
    <row r="77" customFormat="false" ht="15" hidden="false" customHeight="false" outlineLevel="0" collapsed="false">
      <c r="A77" s="10" t="n">
        <v>76</v>
      </c>
      <c r="B77" s="11" t="s">
        <v>237</v>
      </c>
      <c r="C77" s="11" t="s">
        <v>55</v>
      </c>
      <c r="D77" s="11" t="s">
        <v>241</v>
      </c>
      <c r="E77" s="11" t="s">
        <v>40</v>
      </c>
      <c r="F77" s="10" t="s">
        <v>52</v>
      </c>
      <c r="G77" s="11" t="s">
        <v>242</v>
      </c>
      <c r="H77" s="10" t="s">
        <v>27</v>
      </c>
      <c r="I77" s="10" t="s">
        <v>58</v>
      </c>
      <c r="J77" s="15" t="n">
        <v>1</v>
      </c>
      <c r="K77" s="13"/>
      <c r="L77" s="13"/>
      <c r="M77" s="13" t="s">
        <v>43</v>
      </c>
      <c r="N77" s="11" t="s">
        <v>243</v>
      </c>
    </row>
    <row r="78" customFormat="false" ht="15" hidden="false" customHeight="false" outlineLevel="0" collapsed="false">
      <c r="A78" s="10" t="n">
        <v>77</v>
      </c>
      <c r="B78" s="11" t="s">
        <v>237</v>
      </c>
      <c r="C78" s="11" t="s">
        <v>50</v>
      </c>
      <c r="D78" s="11" t="s">
        <v>244</v>
      </c>
      <c r="E78" s="11" t="s">
        <v>40</v>
      </c>
      <c r="F78" s="10" t="s">
        <v>52</v>
      </c>
      <c r="G78" s="11" t="s">
        <v>245</v>
      </c>
      <c r="H78" s="10" t="s">
        <v>27</v>
      </c>
      <c r="I78" s="10" t="s">
        <v>58</v>
      </c>
      <c r="J78" s="15" t="n">
        <v>1</v>
      </c>
      <c r="K78" s="13"/>
      <c r="L78" s="13"/>
      <c r="M78" s="13" t="s">
        <v>43</v>
      </c>
      <c r="N78" s="11"/>
    </row>
    <row r="79" customFormat="false" ht="15" hidden="false" customHeight="false" outlineLevel="0" collapsed="false">
      <c r="A79" s="10" t="n">
        <v>78</v>
      </c>
      <c r="B79" s="11" t="s">
        <v>237</v>
      </c>
      <c r="C79" s="11" t="s">
        <v>124</v>
      </c>
      <c r="D79" s="11" t="s">
        <v>246</v>
      </c>
      <c r="E79" s="11" t="s">
        <v>101</v>
      </c>
      <c r="F79" s="10" t="s">
        <v>102</v>
      </c>
      <c r="G79" s="11" t="s">
        <v>247</v>
      </c>
      <c r="H79" s="10" t="s">
        <v>58</v>
      </c>
      <c r="I79" s="10" t="s">
        <v>58</v>
      </c>
      <c r="J79" s="15" t="n">
        <v>1</v>
      </c>
      <c r="K79" s="13"/>
      <c r="L79" s="13"/>
      <c r="M79" s="13" t="s">
        <v>43</v>
      </c>
      <c r="N79" s="11" t="s">
        <v>248</v>
      </c>
    </row>
    <row r="80" customFormat="false" ht="15" hidden="false" customHeight="false" outlineLevel="0" collapsed="false">
      <c r="A80" s="10" t="n">
        <v>79</v>
      </c>
      <c r="B80" s="11" t="s">
        <v>237</v>
      </c>
      <c r="C80" s="11" t="s">
        <v>124</v>
      </c>
      <c r="D80" s="11" t="s">
        <v>249</v>
      </c>
      <c r="E80" s="11" t="s">
        <v>101</v>
      </c>
      <c r="F80" s="10" t="s">
        <v>102</v>
      </c>
      <c r="G80" s="11" t="s">
        <v>250</v>
      </c>
      <c r="H80" s="10" t="s">
        <v>27</v>
      </c>
      <c r="I80" s="10" t="s">
        <v>58</v>
      </c>
      <c r="J80" s="15" t="n">
        <v>1</v>
      </c>
      <c r="K80" s="13"/>
      <c r="L80" s="13"/>
      <c r="M80" s="13" t="s">
        <v>43</v>
      </c>
      <c r="N80" s="11"/>
    </row>
    <row r="81" customFormat="false" ht="15" hidden="false" customHeight="false" outlineLevel="0" collapsed="false">
      <c r="A81" s="10" t="n">
        <v>80</v>
      </c>
      <c r="B81" s="11" t="s">
        <v>237</v>
      </c>
      <c r="C81" s="11" t="s">
        <v>124</v>
      </c>
      <c r="D81" s="11" t="s">
        <v>251</v>
      </c>
      <c r="E81" s="11" t="s">
        <v>101</v>
      </c>
      <c r="F81" s="10" t="s">
        <v>102</v>
      </c>
      <c r="G81" s="11" t="s">
        <v>252</v>
      </c>
      <c r="H81" s="10" t="s">
        <v>27</v>
      </c>
      <c r="I81" s="10" t="s">
        <v>58</v>
      </c>
      <c r="J81" s="15" t="n">
        <v>1</v>
      </c>
      <c r="K81" s="13"/>
      <c r="L81" s="13"/>
      <c r="M81" s="13" t="s">
        <v>43</v>
      </c>
      <c r="N81" s="11"/>
    </row>
    <row r="82" customFormat="false" ht="15" hidden="false" customHeight="false" outlineLevel="0" collapsed="false">
      <c r="A82" s="10" t="n">
        <v>81</v>
      </c>
      <c r="B82" s="11" t="s">
        <v>237</v>
      </c>
      <c r="C82" s="11" t="s">
        <v>50</v>
      </c>
      <c r="D82" s="11" t="s">
        <v>253</v>
      </c>
      <c r="E82" s="11" t="s">
        <v>40</v>
      </c>
      <c r="F82" s="10" t="s">
        <v>52</v>
      </c>
      <c r="G82" s="11" t="s">
        <v>254</v>
      </c>
      <c r="H82" s="10" t="s">
        <v>58</v>
      </c>
      <c r="I82" s="10" t="s">
        <v>58</v>
      </c>
      <c r="J82" s="14" t="n">
        <v>2</v>
      </c>
      <c r="K82" s="13"/>
      <c r="L82" s="13"/>
      <c r="M82" s="13" t="s">
        <v>43</v>
      </c>
      <c r="N82" s="11"/>
    </row>
  </sheetData>
  <autoFilter ref="A1:N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</cols>
  <sheetData>
    <row r="1" customFormat="false" ht="19.7" hidden="false" customHeight="false" outlineLevel="0" collapsed="false">
      <c r="A1" s="1" t="s">
        <v>255</v>
      </c>
    </row>
    <row r="3" customFormat="false" ht="15" hidden="false" customHeight="false" outlineLevel="0" collapsed="false">
      <c r="A3" s="2" t="s">
        <v>256</v>
      </c>
    </row>
    <row r="4" customFormat="false" ht="15" hidden="false" customHeight="false" outlineLevel="0" collapsed="false">
      <c r="A4" s="6" t="s">
        <v>31</v>
      </c>
      <c r="B4" s="6" t="s">
        <v>257</v>
      </c>
    </row>
    <row r="5" customFormat="false" ht="15" hidden="false" customHeight="false" outlineLevel="0" collapsed="false">
      <c r="A5" s="7" t="s">
        <v>37</v>
      </c>
      <c r="B5" s="10" t="n">
        <f aca="false">COUNTIF(Keywords!$B$2:$B$82,A5)</f>
        <v>39</v>
      </c>
    </row>
    <row r="6" customFormat="false" ht="15" hidden="false" customHeight="false" outlineLevel="0" collapsed="false">
      <c r="A6" s="7" t="s">
        <v>146</v>
      </c>
      <c r="B6" s="10" t="n">
        <f aca="false">COUNTIF(Keywords!$B$2:$B$82,A6)</f>
        <v>26</v>
      </c>
    </row>
    <row r="7" customFormat="false" ht="15" hidden="false" customHeight="false" outlineLevel="0" collapsed="false">
      <c r="A7" s="7" t="s">
        <v>213</v>
      </c>
      <c r="B7" s="10" t="n">
        <f aca="false">COUNTIF(Keywords!$B$2:$B$82,A7)</f>
        <v>9</v>
      </c>
    </row>
    <row r="8" customFormat="false" ht="15" hidden="false" customHeight="false" outlineLevel="0" collapsed="false">
      <c r="A8" s="7" t="s">
        <v>237</v>
      </c>
      <c r="B8" s="10" t="n">
        <f aca="false">COUNTIF(Keywords!$B$2:$B$82,A8)</f>
        <v>7</v>
      </c>
    </row>
    <row r="9" customFormat="false" ht="15" hidden="false" customHeight="false" outlineLevel="0" collapsed="false">
      <c r="A9" s="16" t="s">
        <v>258</v>
      </c>
      <c r="B9" s="17" t="n">
        <f aca="false">COUNTA(Keywords!$D$2:$D$82)</f>
        <v>81</v>
      </c>
    </row>
    <row r="12" customFormat="false" ht="15" hidden="false" customHeight="false" outlineLevel="0" collapsed="false">
      <c r="A12" s="2" t="s">
        <v>259</v>
      </c>
    </row>
    <row r="13" customFormat="false" ht="15" hidden="false" customHeight="false" outlineLevel="0" collapsed="false">
      <c r="A13" s="6" t="s">
        <v>16</v>
      </c>
      <c r="B13" s="6" t="s">
        <v>257</v>
      </c>
    </row>
    <row r="14" customFormat="false" ht="15" hidden="false" customHeight="false" outlineLevel="0" collapsed="false">
      <c r="A14" s="18" t="s">
        <v>260</v>
      </c>
      <c r="B14" s="10" t="n">
        <f aca="false">COUNTIF(Keywords!$J$2:$J$82,1)</f>
        <v>62</v>
      </c>
    </row>
    <row r="15" customFormat="false" ht="15" hidden="false" customHeight="false" outlineLevel="0" collapsed="false">
      <c r="A15" s="19" t="s">
        <v>261</v>
      </c>
      <c r="B15" s="10" t="n">
        <f aca="false">COUNTIF(Keywords!$J$2:$J$82,2)</f>
        <v>13</v>
      </c>
    </row>
    <row r="16" customFormat="false" ht="15" hidden="false" customHeight="false" outlineLevel="0" collapsed="false">
      <c r="A16" s="20" t="s">
        <v>262</v>
      </c>
      <c r="B16" s="10" t="n">
        <f aca="false">COUNTIF(Keywords!$J$2:$J$82,3)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2026-07-15T16:33:04Z</dcterms:created>
  <dc:creator>openpyxl</dc:creator>
  <dc:description/>
  <dc:language>en-US</dc:language>
  <cp:lastModifiedBy/>
  <dcterms:modified xsi:type="dcterms:W3CDTF">2026-07-15T16:33:04Z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